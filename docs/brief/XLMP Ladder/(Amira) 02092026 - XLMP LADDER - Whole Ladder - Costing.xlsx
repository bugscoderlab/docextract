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I:\02 LADDERTECH\00 EXPORT CUSTOMERS\01 EASY ACCESS\02 PRODUCTS\01 WHOLE LADDER\03 CAN\XL PLATFORM CANADA RANGE\XLMP\XLMP with Ladder\"/>
    </mc:Choice>
  </mc:AlternateContent>
  <xr:revisionPtr revIDLastSave="0" documentId="13_ncr:1_{7402892C-F7EC-47F1-998A-F700D4A6C0F8}" xr6:coauthVersionLast="47" xr6:coauthVersionMax="47" xr10:uidLastSave="{00000000-0000-0000-0000-000000000000}"/>
  <bookViews>
    <workbookView xWindow="-120" yWindow="-120" windowWidth="29040" windowHeight="15720" tabRatio="771" firstSheet="2" activeTab="5" xr2:uid="{00000000-000D-0000-FFFF-FFFF00000000}"/>
  </bookViews>
  <sheets>
    <sheet name="EXTRUSION" sheetId="5" r:id="rId1"/>
    <sheet name="ACCESSORIES &amp; OTHER PARTS" sheetId="8" r:id="rId2"/>
    <sheet name="TO QUOTE EA (NAR PARTS)" sheetId="9" r:id="rId3"/>
    <sheet name="TO QUOTE EA" sheetId="10" r:id="rId4"/>
    <sheet name="SUMMARY" sheetId="7" r:id="rId5"/>
    <sheet name="SUMMARY WITHOUT CAGE" sheetId="11" r:id="rId6"/>
    <sheet name="SUMMARY WITH CAGE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NyvmeUd7rVl4uEetzNBNY3Ufiim9U1gN9KZ9veziKlw="/>
    </ext>
  </extLst>
</workbook>
</file>

<file path=xl/calcChain.xml><?xml version="1.0" encoding="utf-8"?>
<calcChain xmlns="http://schemas.openxmlformats.org/spreadsheetml/2006/main">
  <c r="L13" i="11" l="1"/>
  <c r="L14" i="11"/>
  <c r="L15" i="11"/>
  <c r="L12" i="11"/>
  <c r="M13" i="11"/>
  <c r="M14" i="11"/>
  <c r="M15" i="11"/>
  <c r="M16" i="11"/>
  <c r="M12" i="11"/>
  <c r="G30" i="11"/>
  <c r="G31" i="11"/>
  <c r="G29" i="11"/>
  <c r="H18" i="12"/>
  <c r="H19" i="12"/>
  <c r="H17" i="12"/>
  <c r="G18" i="12"/>
  <c r="G17" i="12"/>
  <c r="F30" i="11"/>
  <c r="F31" i="11"/>
  <c r="F32" i="11"/>
  <c r="F29" i="11"/>
  <c r="F23" i="11" l="1"/>
  <c r="F24" i="11"/>
  <c r="F25" i="11"/>
  <c r="F22" i="11"/>
  <c r="F19" i="11"/>
  <c r="F20" i="11"/>
  <c r="F18" i="11"/>
  <c r="G18" i="11" s="1"/>
  <c r="C19" i="11"/>
  <c r="C20" i="11"/>
  <c r="C18" i="11"/>
  <c r="G19" i="11" l="1"/>
  <c r="G20" i="11"/>
  <c r="F28" i="11"/>
  <c r="F26" i="11"/>
  <c r="F27" i="11"/>
  <c r="D26" i="7"/>
  <c r="H26" i="7" s="1"/>
  <c r="D120" i="10"/>
  <c r="D118" i="10"/>
  <c r="D104" i="10"/>
  <c r="D102" i="10"/>
  <c r="D88" i="10"/>
  <c r="D86" i="10"/>
  <c r="D72" i="10"/>
  <c r="D70" i="10"/>
  <c r="D56" i="10"/>
  <c r="D54" i="10"/>
  <c r="D40" i="10"/>
  <c r="D38" i="10"/>
  <c r="D24" i="10"/>
  <c r="D22" i="10"/>
  <c r="D29" i="7"/>
  <c r="D28" i="7"/>
  <c r="D27" i="7"/>
  <c r="D25" i="7"/>
  <c r="H25" i="7" s="1"/>
  <c r="D24" i="7"/>
  <c r="H24" i="7" s="1"/>
  <c r="D23" i="7"/>
  <c r="H23" i="7" s="1"/>
  <c r="D22" i="7"/>
  <c r="H22" i="7" s="1"/>
  <c r="O137" i="5"/>
  <c r="O136" i="5"/>
  <c r="O135" i="5"/>
  <c r="O134" i="5"/>
  <c r="O133" i="5"/>
  <c r="O132" i="5"/>
  <c r="O131" i="5"/>
  <c r="O138" i="5" s="1"/>
  <c r="O118" i="5"/>
  <c r="O117" i="5"/>
  <c r="O116" i="5"/>
  <c r="O115" i="5"/>
  <c r="O114" i="5"/>
  <c r="O113" i="5"/>
  <c r="O112" i="5"/>
  <c r="O98" i="5"/>
  <c r="O99" i="5"/>
  <c r="O97" i="5"/>
  <c r="O96" i="5"/>
  <c r="O95" i="5"/>
  <c r="O94" i="5"/>
  <c r="O93" i="5"/>
  <c r="O80" i="5"/>
  <c r="O79" i="5"/>
  <c r="O78" i="5"/>
  <c r="O77" i="5"/>
  <c r="O76" i="5"/>
  <c r="O63" i="5"/>
  <c r="O62" i="5"/>
  <c r="O61" i="5"/>
  <c r="O60" i="5"/>
  <c r="O59" i="5"/>
  <c r="O64" i="5" s="1"/>
  <c r="O46" i="5"/>
  <c r="O45" i="5"/>
  <c r="O44" i="5"/>
  <c r="O43" i="5"/>
  <c r="O42" i="5"/>
  <c r="O29" i="5"/>
  <c r="O28" i="5"/>
  <c r="O27" i="5"/>
  <c r="O26" i="5"/>
  <c r="O25" i="5"/>
  <c r="O8" i="5"/>
  <c r="O9" i="5"/>
  <c r="O10" i="5"/>
  <c r="O11" i="5"/>
  <c r="O7" i="5"/>
  <c r="K59" i="7"/>
  <c r="K58" i="7"/>
  <c r="K57" i="7"/>
  <c r="K56" i="7"/>
  <c r="K55" i="7"/>
  <c r="K54" i="7"/>
  <c r="K53" i="7"/>
  <c r="K52" i="7"/>
  <c r="G52" i="7"/>
  <c r="N26" i="5"/>
  <c r="N27" i="5"/>
  <c r="N28" i="5"/>
  <c r="N29" i="5"/>
  <c r="M26" i="5"/>
  <c r="M27" i="5"/>
  <c r="M28" i="5"/>
  <c r="M29" i="5"/>
  <c r="D14" i="7"/>
  <c r="D13" i="7"/>
  <c r="D12" i="7"/>
  <c r="D11" i="7"/>
  <c r="H11" i="7" s="1"/>
  <c r="D10" i="7"/>
  <c r="H10" i="7" s="1"/>
  <c r="D9" i="7"/>
  <c r="H9" i="7" s="1"/>
  <c r="D8" i="7"/>
  <c r="H8" i="7" s="1"/>
  <c r="D7" i="7"/>
  <c r="H7" i="7" s="1"/>
  <c r="B159" i="9"/>
  <c r="D159" i="9" s="1"/>
  <c r="I151" i="9" s="1"/>
  <c r="B90" i="9"/>
  <c r="D90" i="9" s="1"/>
  <c r="B21" i="9"/>
  <c r="D21" i="9" s="1"/>
  <c r="G32" i="8"/>
  <c r="B182" i="9" s="1"/>
  <c r="D182" i="9" s="1"/>
  <c r="I174" i="9" s="1"/>
  <c r="G16" i="8"/>
  <c r="B44" i="9" s="1"/>
  <c r="D44" i="9" s="1"/>
  <c r="B67" i="9" l="1"/>
  <c r="D67" i="9" s="1"/>
  <c r="B136" i="9"/>
  <c r="D136" i="9" s="1"/>
  <c r="O30" i="5"/>
  <c r="O81" i="5"/>
  <c r="O119" i="5"/>
  <c r="B113" i="9"/>
  <c r="D113" i="9" s="1"/>
  <c r="O47" i="5"/>
  <c r="O100" i="5"/>
  <c r="O102" i="5"/>
  <c r="G56" i="7"/>
  <c r="G55" i="7"/>
  <c r="G54" i="7"/>
  <c r="G53" i="7"/>
  <c r="O140" i="5"/>
  <c r="O83" i="5"/>
  <c r="O66" i="5"/>
  <c r="O49" i="5"/>
  <c r="O32" i="5"/>
  <c r="O12" i="5"/>
  <c r="O121" i="5" l="1"/>
  <c r="O14" i="5"/>
  <c r="H32" i="8" l="1"/>
  <c r="I32" i="8" s="1"/>
  <c r="J32" i="8" s="1"/>
  <c r="H16" i="8"/>
  <c r="I16" i="8" s="1"/>
  <c r="J16" i="8" s="1"/>
  <c r="D16" i="9"/>
  <c r="D17" i="9" s="1"/>
  <c r="E48" i="8"/>
  <c r="E49" i="8" s="1"/>
  <c r="B13" i="10" s="1"/>
  <c r="C45" i="8"/>
  <c r="E45" i="8" s="1"/>
  <c r="C44" i="8"/>
  <c r="E44" i="8" s="1"/>
  <c r="C43" i="8"/>
  <c r="E43" i="8" s="1"/>
  <c r="C42" i="8"/>
  <c r="E42" i="8" s="1"/>
  <c r="C39" i="8"/>
  <c r="C38" i="8"/>
  <c r="E38" i="8" s="1"/>
  <c r="E40" i="8" s="1"/>
  <c r="B11" i="10" s="1"/>
  <c r="G31" i="8"/>
  <c r="G30" i="8"/>
  <c r="G28" i="8"/>
  <c r="G26" i="8"/>
  <c r="G25" i="8"/>
  <c r="G23" i="8"/>
  <c r="G15" i="8"/>
  <c r="G14" i="8"/>
  <c r="G12" i="8"/>
  <c r="G10" i="8"/>
  <c r="G9" i="8"/>
  <c r="G7" i="8"/>
  <c r="H30" i="8" l="1"/>
  <c r="B157" i="9"/>
  <c r="B88" i="9"/>
  <c r="D88" i="9" s="1"/>
  <c r="B180" i="9"/>
  <c r="B111" i="9"/>
  <c r="D111" i="9" s="1"/>
  <c r="B134" i="9"/>
  <c r="D134" i="9" s="1"/>
  <c r="B65" i="9"/>
  <c r="D65" i="9" s="1"/>
  <c r="D68" i="9" s="1"/>
  <c r="F68" i="9" s="1"/>
  <c r="H31" i="8"/>
  <c r="K31" i="8" s="1"/>
  <c r="B181" i="9"/>
  <c r="B112" i="9"/>
  <c r="D112" i="9" s="1"/>
  <c r="B89" i="9"/>
  <c r="D89" i="9" s="1"/>
  <c r="B135" i="9"/>
  <c r="D135" i="9" s="1"/>
  <c r="B66" i="9"/>
  <c r="D66" i="9" s="1"/>
  <c r="B158" i="9"/>
  <c r="H7" i="8"/>
  <c r="K7" i="8" s="1"/>
  <c r="B32" i="9"/>
  <c r="D32" i="9" s="1"/>
  <c r="D33" i="9" s="1"/>
  <c r="F33" i="9" s="1"/>
  <c r="B9" i="9"/>
  <c r="D9" i="9" s="1"/>
  <c r="D10" i="9" s="1"/>
  <c r="H9" i="8"/>
  <c r="B35" i="9"/>
  <c r="D35" i="9" s="1"/>
  <c r="F35" i="9" s="1"/>
  <c r="B12" i="9"/>
  <c r="D12" i="9" s="1"/>
  <c r="F12" i="9" s="1"/>
  <c r="H12" i="8"/>
  <c r="K12" i="8" s="1"/>
  <c r="B39" i="9"/>
  <c r="D39" i="9" s="1"/>
  <c r="D40" i="9" s="1"/>
  <c r="F40" i="9" s="1"/>
  <c r="H15" i="8"/>
  <c r="I15" i="8" s="1"/>
  <c r="J15" i="8" s="1"/>
  <c r="B43" i="9"/>
  <c r="D43" i="9" s="1"/>
  <c r="B20" i="9"/>
  <c r="D20" i="9" s="1"/>
  <c r="B45" i="10"/>
  <c r="C45" i="10" s="1"/>
  <c r="D45" i="10" s="1"/>
  <c r="B77" i="10"/>
  <c r="C77" i="10" s="1"/>
  <c r="D77" i="10" s="1"/>
  <c r="B93" i="10"/>
  <c r="C93" i="10" s="1"/>
  <c r="D93" i="10" s="1"/>
  <c r="B61" i="10"/>
  <c r="C61" i="10" s="1"/>
  <c r="D61" i="10" s="1"/>
  <c r="B125" i="10"/>
  <c r="C125" i="10" s="1"/>
  <c r="D125" i="10" s="1"/>
  <c r="B29" i="10"/>
  <c r="C29" i="10" s="1"/>
  <c r="D29" i="10" s="1"/>
  <c r="B109" i="10"/>
  <c r="C13" i="10"/>
  <c r="D13" i="10" s="1"/>
  <c r="H14" i="8"/>
  <c r="B19" i="9"/>
  <c r="D19" i="9" s="1"/>
  <c r="D22" i="9" s="1"/>
  <c r="B42" i="9"/>
  <c r="D42" i="9" s="1"/>
  <c r="B123" i="10"/>
  <c r="C123" i="10" s="1"/>
  <c r="D123" i="10" s="1"/>
  <c r="B27" i="10"/>
  <c r="C27" i="10" s="1"/>
  <c r="D27" i="10" s="1"/>
  <c r="C11" i="10"/>
  <c r="D11" i="10" s="1"/>
  <c r="B43" i="10"/>
  <c r="C43" i="10" s="1"/>
  <c r="D43" i="10" s="1"/>
  <c r="B91" i="10"/>
  <c r="C91" i="10" s="1"/>
  <c r="D91" i="10" s="1"/>
  <c r="B59" i="10"/>
  <c r="C59" i="10" s="1"/>
  <c r="D59" i="10" s="1"/>
  <c r="B107" i="10"/>
  <c r="C107" i="10" s="1"/>
  <c r="D107" i="10" s="1"/>
  <c r="B75" i="10"/>
  <c r="C75" i="10" s="1"/>
  <c r="D75" i="10" s="1"/>
  <c r="H10" i="8"/>
  <c r="K10" i="8" s="1"/>
  <c r="B36" i="9"/>
  <c r="B13" i="9"/>
  <c r="H23" i="8"/>
  <c r="K23" i="8" s="1"/>
  <c r="B124" i="9"/>
  <c r="D124" i="9" s="1"/>
  <c r="D125" i="9" s="1"/>
  <c r="F125" i="9" s="1"/>
  <c r="B55" i="9"/>
  <c r="D55" i="9" s="1"/>
  <c r="D56" i="9" s="1"/>
  <c r="F56" i="9" s="1"/>
  <c r="B147" i="9"/>
  <c r="D147" i="9" s="1"/>
  <c r="D148" i="9" s="1"/>
  <c r="B78" i="9"/>
  <c r="D78" i="9" s="1"/>
  <c r="D79" i="9" s="1"/>
  <c r="F79" i="9" s="1"/>
  <c r="B101" i="9"/>
  <c r="D101" i="9" s="1"/>
  <c r="D102" i="9" s="1"/>
  <c r="F102" i="9" s="1"/>
  <c r="B170" i="9"/>
  <c r="D170" i="9" s="1"/>
  <c r="D171" i="9" s="1"/>
  <c r="H25" i="8"/>
  <c r="K25" i="8" s="1"/>
  <c r="B58" i="9"/>
  <c r="D58" i="9" s="1"/>
  <c r="B150" i="9"/>
  <c r="D150" i="9" s="1"/>
  <c r="B81" i="9"/>
  <c r="D81" i="9" s="1"/>
  <c r="B173" i="9"/>
  <c r="D173" i="9" s="1"/>
  <c r="F173" i="9" s="1"/>
  <c r="B104" i="9"/>
  <c r="D104" i="9" s="1"/>
  <c r="B127" i="9"/>
  <c r="D127" i="9" s="1"/>
  <c r="H26" i="8"/>
  <c r="B151" i="9"/>
  <c r="B82" i="9"/>
  <c r="B174" i="9"/>
  <c r="B105" i="9"/>
  <c r="B128" i="9"/>
  <c r="B59" i="9"/>
  <c r="H28" i="8"/>
  <c r="I28" i="8" s="1"/>
  <c r="J28" i="8" s="1"/>
  <c r="B154" i="9"/>
  <c r="D154" i="9" s="1"/>
  <c r="D155" i="9" s="1"/>
  <c r="F155" i="9" s="1"/>
  <c r="B85" i="9"/>
  <c r="D85" i="9" s="1"/>
  <c r="D86" i="9" s="1"/>
  <c r="F86" i="9" s="1"/>
  <c r="B62" i="9"/>
  <c r="D62" i="9" s="1"/>
  <c r="D63" i="9" s="1"/>
  <c r="F63" i="9" s="1"/>
  <c r="B177" i="9"/>
  <c r="D177" i="9" s="1"/>
  <c r="D178" i="9" s="1"/>
  <c r="F178" i="9" s="1"/>
  <c r="B108" i="9"/>
  <c r="D108" i="9" s="1"/>
  <c r="D109" i="9" s="1"/>
  <c r="F109" i="9" s="1"/>
  <c r="B131" i="9"/>
  <c r="D131" i="9" s="1"/>
  <c r="D132" i="9" s="1"/>
  <c r="F132" i="9" s="1"/>
  <c r="F17" i="9"/>
  <c r="B9" i="10"/>
  <c r="F10" i="9"/>
  <c r="B7" i="10"/>
  <c r="K32" i="8"/>
  <c r="K16" i="8"/>
  <c r="K26" i="8"/>
  <c r="I26" i="8"/>
  <c r="J26" i="8" s="1"/>
  <c r="K28" i="8"/>
  <c r="K9" i="8"/>
  <c r="I9" i="8"/>
  <c r="J9" i="8" s="1"/>
  <c r="I10" i="8"/>
  <c r="J10" i="8" s="1"/>
  <c r="E46" i="8"/>
  <c r="B12" i="10" s="1"/>
  <c r="I25" i="8"/>
  <c r="J25" i="8" s="1"/>
  <c r="I7" i="8"/>
  <c r="J7" i="8" s="1"/>
  <c r="F104" i="9" l="1"/>
  <c r="L173" i="9"/>
  <c r="I173" i="9"/>
  <c r="D181" i="9"/>
  <c r="B76" i="10"/>
  <c r="C76" i="10" s="1"/>
  <c r="D76" i="10" s="1"/>
  <c r="B60" i="10"/>
  <c r="C60" i="10" s="1"/>
  <c r="D60" i="10" s="1"/>
  <c r="B124" i="10"/>
  <c r="C124" i="10" s="1"/>
  <c r="D124" i="10" s="1"/>
  <c r="B28" i="10"/>
  <c r="C28" i="10" s="1"/>
  <c r="D28" i="10" s="1"/>
  <c r="C12" i="10"/>
  <c r="D12" i="10" s="1"/>
  <c r="B108" i="10"/>
  <c r="C108" i="10" s="1"/>
  <c r="D108" i="10" s="1"/>
  <c r="B44" i="10"/>
  <c r="C44" i="10" s="1"/>
  <c r="D44" i="10" s="1"/>
  <c r="B92" i="10"/>
  <c r="C92" i="10" s="1"/>
  <c r="D92" i="10" s="1"/>
  <c r="F22" i="9"/>
  <c r="B10" i="10"/>
  <c r="I23" i="8"/>
  <c r="J23" i="8" s="1"/>
  <c r="D60" i="9"/>
  <c r="B40" i="10" s="1"/>
  <c r="K9" i="7" s="1"/>
  <c r="L9" i="7" s="1"/>
  <c r="F58" i="9"/>
  <c r="F60" i="9" s="1"/>
  <c r="K15" i="8"/>
  <c r="D128" i="9"/>
  <c r="D129" i="9" s="1"/>
  <c r="B88" i="10" s="1"/>
  <c r="K12" i="7" s="1"/>
  <c r="L12" i="7" s="1"/>
  <c r="F128" i="9"/>
  <c r="D105" i="9"/>
  <c r="D106" i="9" s="1"/>
  <c r="B72" i="10" s="1"/>
  <c r="K11" i="7" s="1"/>
  <c r="L11" i="7" s="1"/>
  <c r="F105" i="9"/>
  <c r="F171" i="9"/>
  <c r="I170" i="9"/>
  <c r="D137" i="9"/>
  <c r="D59" i="9"/>
  <c r="F59" i="9"/>
  <c r="D114" i="9"/>
  <c r="F114" i="9" s="1"/>
  <c r="F175" i="9"/>
  <c r="C109" i="10"/>
  <c r="D109" i="10" s="1"/>
  <c r="O7" i="7"/>
  <c r="L172" i="9"/>
  <c r="L175" i="9" s="1"/>
  <c r="Y15" i="12" s="1"/>
  <c r="P15" i="12" s="1"/>
  <c r="I172" i="9"/>
  <c r="D180" i="9"/>
  <c r="D183" i="9" s="1"/>
  <c r="I12" i="8"/>
  <c r="J12" i="8" s="1"/>
  <c r="F174" i="9"/>
  <c r="D174" i="9"/>
  <c r="D175" i="9" s="1"/>
  <c r="B120" i="10" s="1"/>
  <c r="K14" i="7" s="1"/>
  <c r="L14" i="7" s="1"/>
  <c r="F148" i="9"/>
  <c r="I147" i="9"/>
  <c r="D91" i="9"/>
  <c r="F91" i="9" s="1"/>
  <c r="D45" i="9"/>
  <c r="F45" i="9" s="1"/>
  <c r="F13" i="9"/>
  <c r="F14" i="9" s="1"/>
  <c r="D13" i="9"/>
  <c r="D14" i="9" s="1"/>
  <c r="B8" i="10" s="1"/>
  <c r="K7" i="7" s="1"/>
  <c r="L7" i="7" s="1"/>
  <c r="D83" i="9"/>
  <c r="B56" i="10" s="1"/>
  <c r="K10" i="7" s="1"/>
  <c r="L10" i="7" s="1"/>
  <c r="F81" i="9"/>
  <c r="F83" i="9" s="1"/>
  <c r="F150" i="9"/>
  <c r="D82" i="9"/>
  <c r="F82" i="9"/>
  <c r="I31" i="8"/>
  <c r="J31" i="8" s="1"/>
  <c r="F151" i="9"/>
  <c r="D151" i="9"/>
  <c r="D152" i="9" s="1"/>
  <c r="B104" i="10" s="1"/>
  <c r="K13" i="7" s="1"/>
  <c r="L13" i="7" s="1"/>
  <c r="D158" i="9"/>
  <c r="I150" i="9"/>
  <c r="L150" i="9"/>
  <c r="D157" i="9"/>
  <c r="D160" i="9" s="1"/>
  <c r="I149" i="9"/>
  <c r="L149" i="9"/>
  <c r="F36" i="9"/>
  <c r="F37" i="9" s="1"/>
  <c r="D36" i="9"/>
  <c r="D37" i="9" s="1"/>
  <c r="B24" i="10" s="1"/>
  <c r="K8" i="7" s="1"/>
  <c r="L8" i="7" s="1"/>
  <c r="F127" i="9"/>
  <c r="B71" i="10"/>
  <c r="C7" i="10"/>
  <c r="B39" i="10"/>
  <c r="C39" i="10" s="1"/>
  <c r="D39" i="10" s="1"/>
  <c r="B23" i="10"/>
  <c r="C23" i="10" s="1"/>
  <c r="D23" i="10" s="1"/>
  <c r="B103" i="10"/>
  <c r="I7" i="7"/>
  <c r="B55" i="10"/>
  <c r="B119" i="10"/>
  <c r="B87" i="10"/>
  <c r="B25" i="10"/>
  <c r="C25" i="10" s="1"/>
  <c r="D25" i="10" s="1"/>
  <c r="B41" i="10"/>
  <c r="C41" i="10" s="1"/>
  <c r="D41" i="10" s="1"/>
  <c r="C9" i="10"/>
  <c r="D9" i="10" s="1"/>
  <c r="B89" i="10"/>
  <c r="C89" i="10" s="1"/>
  <c r="D89" i="10" s="1"/>
  <c r="B57" i="10"/>
  <c r="C57" i="10" s="1"/>
  <c r="D57" i="10" s="1"/>
  <c r="B73" i="10"/>
  <c r="C73" i="10" s="1"/>
  <c r="D73" i="10" s="1"/>
  <c r="B105" i="10"/>
  <c r="B121" i="10"/>
  <c r="C121" i="10" s="1"/>
  <c r="D121" i="10" s="1"/>
  <c r="N137" i="5"/>
  <c r="N136" i="5"/>
  <c r="N135" i="5"/>
  <c r="N134" i="5"/>
  <c r="N133" i="5"/>
  <c r="N132" i="5"/>
  <c r="N131" i="5"/>
  <c r="N138" i="5" s="1"/>
  <c r="N118" i="5"/>
  <c r="N117" i="5"/>
  <c r="N116" i="5"/>
  <c r="N115" i="5"/>
  <c r="N114" i="5"/>
  <c r="N113" i="5"/>
  <c r="N112" i="5"/>
  <c r="N98" i="5"/>
  <c r="N99" i="5"/>
  <c r="N97" i="5"/>
  <c r="N96" i="5"/>
  <c r="N95" i="5"/>
  <c r="N94" i="5"/>
  <c r="N93" i="5"/>
  <c r="N80" i="5"/>
  <c r="N79" i="5"/>
  <c r="N78" i="5"/>
  <c r="N77" i="5"/>
  <c r="N76" i="5"/>
  <c r="N63" i="5"/>
  <c r="N62" i="5"/>
  <c r="N61" i="5"/>
  <c r="N60" i="5"/>
  <c r="N59" i="5"/>
  <c r="N64" i="5" s="1"/>
  <c r="N46" i="5"/>
  <c r="N45" i="5"/>
  <c r="N44" i="5"/>
  <c r="N43" i="5"/>
  <c r="N42" i="5"/>
  <c r="N25" i="5"/>
  <c r="N30" i="5" s="1"/>
  <c r="N32" i="5" s="1"/>
  <c r="N8" i="5"/>
  <c r="N9" i="5"/>
  <c r="N10" i="5"/>
  <c r="N11" i="5"/>
  <c r="N7" i="5"/>
  <c r="K133" i="5"/>
  <c r="M132" i="5"/>
  <c r="M133" i="5"/>
  <c r="M134" i="5"/>
  <c r="M135" i="5"/>
  <c r="M136" i="5"/>
  <c r="M137" i="5"/>
  <c r="K132" i="5"/>
  <c r="M113" i="5"/>
  <c r="K113" i="5"/>
  <c r="M114" i="5"/>
  <c r="K114" i="5"/>
  <c r="M94" i="5"/>
  <c r="M95" i="5"/>
  <c r="K94" i="5"/>
  <c r="K95" i="5"/>
  <c r="K137" i="5"/>
  <c r="K136" i="5"/>
  <c r="K135" i="5"/>
  <c r="K134" i="5"/>
  <c r="M131" i="5"/>
  <c r="K131" i="5"/>
  <c r="Q131" i="5" s="1"/>
  <c r="M118" i="5"/>
  <c r="K118" i="5"/>
  <c r="M117" i="5"/>
  <c r="K117" i="5"/>
  <c r="M116" i="5"/>
  <c r="K116" i="5"/>
  <c r="M115" i="5"/>
  <c r="K115" i="5"/>
  <c r="M112" i="5"/>
  <c r="K112" i="5"/>
  <c r="M99" i="5"/>
  <c r="K99" i="5"/>
  <c r="M98" i="5"/>
  <c r="K98" i="5"/>
  <c r="M97" i="5"/>
  <c r="K97" i="5"/>
  <c r="M96" i="5"/>
  <c r="K96" i="5"/>
  <c r="M93" i="5"/>
  <c r="K93" i="5"/>
  <c r="M80" i="5"/>
  <c r="K80" i="5"/>
  <c r="M79" i="5"/>
  <c r="K79" i="5"/>
  <c r="M78" i="5"/>
  <c r="K78" i="5"/>
  <c r="M77" i="5"/>
  <c r="K77" i="5"/>
  <c r="M76" i="5"/>
  <c r="K76" i="5"/>
  <c r="M63" i="5"/>
  <c r="K63" i="5"/>
  <c r="M62" i="5"/>
  <c r="K62" i="5"/>
  <c r="M61" i="5"/>
  <c r="K61" i="5"/>
  <c r="M60" i="5"/>
  <c r="K60" i="5"/>
  <c r="M59" i="5"/>
  <c r="K59" i="5"/>
  <c r="M46" i="5"/>
  <c r="K46" i="5"/>
  <c r="M45" i="5"/>
  <c r="K45" i="5"/>
  <c r="M44" i="5"/>
  <c r="K44" i="5"/>
  <c r="M43" i="5"/>
  <c r="K43" i="5"/>
  <c r="M42" i="5"/>
  <c r="K42" i="5"/>
  <c r="K47" i="5" s="1"/>
  <c r="O48" i="5" s="1"/>
  <c r="M11" i="5"/>
  <c r="M10" i="5"/>
  <c r="M9" i="5"/>
  <c r="M8" i="5"/>
  <c r="M7" i="5"/>
  <c r="K29" i="5"/>
  <c r="K28" i="5"/>
  <c r="K27" i="5"/>
  <c r="K26" i="5"/>
  <c r="M25" i="5"/>
  <c r="K25" i="5"/>
  <c r="K11" i="5"/>
  <c r="K10" i="5"/>
  <c r="K9" i="5"/>
  <c r="K8" i="5"/>
  <c r="K7" i="5"/>
  <c r="K38" i="7" l="1"/>
  <c r="C24" i="10"/>
  <c r="K23" i="7"/>
  <c r="L23" i="7" s="1"/>
  <c r="L38" i="7" s="1"/>
  <c r="K37" i="7"/>
  <c r="C8" i="10"/>
  <c r="D8" i="10" s="1"/>
  <c r="K22" i="7"/>
  <c r="L22" i="7" s="1"/>
  <c r="L37" i="7" s="1"/>
  <c r="U14" i="12"/>
  <c r="J14" i="12" s="1"/>
  <c r="M14" i="12"/>
  <c r="N12" i="5"/>
  <c r="N13" i="5" s="1"/>
  <c r="D30" i="10"/>
  <c r="D31" i="10" s="1"/>
  <c r="O27" i="7"/>
  <c r="P27" i="7" s="1"/>
  <c r="O58" i="7"/>
  <c r="O23" i="7"/>
  <c r="P23" i="7" s="1"/>
  <c r="O55" i="7"/>
  <c r="O25" i="7"/>
  <c r="P25" i="7" s="1"/>
  <c r="O26" i="7"/>
  <c r="P26" i="7" s="1"/>
  <c r="P42" i="7"/>
  <c r="O10" i="7"/>
  <c r="P10" i="7" s="1"/>
  <c r="O12" i="7"/>
  <c r="P12" i="7" s="1"/>
  <c r="O29" i="7"/>
  <c r="P29" i="7" s="1"/>
  <c r="P7" i="7"/>
  <c r="O52" i="7"/>
  <c r="P38" i="7"/>
  <c r="O57" i="7"/>
  <c r="O28" i="7"/>
  <c r="P28" i="7" s="1"/>
  <c r="O24" i="7"/>
  <c r="P24" i="7" s="1"/>
  <c r="O22" i="7"/>
  <c r="P22" i="7" s="1"/>
  <c r="O8" i="7"/>
  <c r="P8" i="7" s="1"/>
  <c r="O14" i="7"/>
  <c r="P14" i="7" s="1"/>
  <c r="O13" i="7"/>
  <c r="P13" i="7" s="1"/>
  <c r="O9" i="7"/>
  <c r="P9" i="7" s="1"/>
  <c r="P41" i="7"/>
  <c r="O53" i="7"/>
  <c r="P43" i="7"/>
  <c r="O56" i="7"/>
  <c r="P37" i="7"/>
  <c r="P39" i="7"/>
  <c r="P44" i="7"/>
  <c r="P40" i="7"/>
  <c r="O54" i="7"/>
  <c r="O59" i="7"/>
  <c r="O11" i="7"/>
  <c r="P11" i="7" s="1"/>
  <c r="K15" i="12"/>
  <c r="E14" i="7"/>
  <c r="F14" i="7" s="1"/>
  <c r="Q133" i="5"/>
  <c r="E44" i="7"/>
  <c r="E29" i="7"/>
  <c r="F129" i="9"/>
  <c r="C120" i="10"/>
  <c r="K44" i="7"/>
  <c r="AA15" i="12" s="1"/>
  <c r="K29" i="7"/>
  <c r="L29" i="7" s="1"/>
  <c r="L44" i="7" s="1"/>
  <c r="C40" i="10"/>
  <c r="K39" i="7"/>
  <c r="K24" i="7"/>
  <c r="L24" i="7" s="1"/>
  <c r="L39" i="7" s="1"/>
  <c r="I152" i="9"/>
  <c r="W13" i="12" s="1"/>
  <c r="U15" i="12"/>
  <c r="J15" i="12" s="1"/>
  <c r="M15" i="12"/>
  <c r="B106" i="10"/>
  <c r="C106" i="10" s="1"/>
  <c r="D106" i="10" s="1"/>
  <c r="F160" i="9"/>
  <c r="Q93" i="5"/>
  <c r="Q95" i="5" s="1"/>
  <c r="B122" i="10"/>
  <c r="C122" i="10" s="1"/>
  <c r="D122" i="10" s="1"/>
  <c r="F183" i="9"/>
  <c r="N81" i="5"/>
  <c r="B74" i="10"/>
  <c r="C74" i="10" s="1"/>
  <c r="D74" i="10" s="1"/>
  <c r="B42" i="10"/>
  <c r="C42" i="10" s="1"/>
  <c r="D42" i="10" s="1"/>
  <c r="C10" i="10"/>
  <c r="D10" i="10" s="1"/>
  <c r="B26" i="10"/>
  <c r="C26" i="10" s="1"/>
  <c r="D26" i="10" s="1"/>
  <c r="B58" i="10"/>
  <c r="C58" i="10" s="1"/>
  <c r="D58" i="10" s="1"/>
  <c r="Q113" i="5"/>
  <c r="S14" i="12"/>
  <c r="I14" i="12" s="1"/>
  <c r="L14" i="12"/>
  <c r="U13" i="12"/>
  <c r="J13" i="12" s="1"/>
  <c r="M13" i="12"/>
  <c r="F137" i="9"/>
  <c r="B90" i="10"/>
  <c r="C90" i="10" s="1"/>
  <c r="D90" i="10" s="1"/>
  <c r="Q132" i="5"/>
  <c r="L15" i="12"/>
  <c r="S15" i="12"/>
  <c r="I15" i="12" s="1"/>
  <c r="S13" i="12"/>
  <c r="I13" i="12" s="1"/>
  <c r="L13" i="12"/>
  <c r="Q94" i="5"/>
  <c r="N47" i="5"/>
  <c r="N49" i="5" s="1"/>
  <c r="L152" i="9"/>
  <c r="Y13" i="12" s="1"/>
  <c r="I175" i="9"/>
  <c r="K40" i="7"/>
  <c r="K25" i="7"/>
  <c r="L25" i="7" s="1"/>
  <c r="L40" i="7" s="1"/>
  <c r="C56" i="10"/>
  <c r="Q112" i="5"/>
  <c r="N119" i="5"/>
  <c r="F152" i="9"/>
  <c r="F106" i="9"/>
  <c r="C87" i="10"/>
  <c r="D87" i="10" s="1"/>
  <c r="C119" i="10"/>
  <c r="I14" i="7"/>
  <c r="M7" i="7"/>
  <c r="C105" i="10"/>
  <c r="D105" i="10" s="1"/>
  <c r="I10" i="7"/>
  <c r="I22" i="7"/>
  <c r="J7" i="7"/>
  <c r="I9" i="7"/>
  <c r="I8" i="7"/>
  <c r="I11" i="7"/>
  <c r="C55" i="10"/>
  <c r="C103" i="10"/>
  <c r="D46" i="10"/>
  <c r="D47" i="10" s="1"/>
  <c r="D7" i="10"/>
  <c r="C71" i="10"/>
  <c r="N100" i="5"/>
  <c r="N140" i="5"/>
  <c r="N121" i="5"/>
  <c r="N83" i="5"/>
  <c r="N66" i="5"/>
  <c r="N48" i="5"/>
  <c r="N31" i="5"/>
  <c r="N14" i="5"/>
  <c r="M100" i="5"/>
  <c r="M102" i="5" s="1"/>
  <c r="K100" i="5"/>
  <c r="M138" i="5"/>
  <c r="M140" i="5" s="1"/>
  <c r="K138" i="5"/>
  <c r="K119" i="5"/>
  <c r="M119" i="5"/>
  <c r="M121" i="5" s="1"/>
  <c r="K81" i="5"/>
  <c r="N82" i="5" s="1"/>
  <c r="M81" i="5"/>
  <c r="M83" i="5" s="1"/>
  <c r="M64" i="5"/>
  <c r="M66" i="5" s="1"/>
  <c r="K64" i="5"/>
  <c r="N65" i="5" s="1"/>
  <c r="K49" i="5"/>
  <c r="K50" i="5" s="1"/>
  <c r="M47" i="5"/>
  <c r="M49" i="5" s="1"/>
  <c r="K12" i="5"/>
  <c r="M12" i="5"/>
  <c r="K30" i="5"/>
  <c r="M30" i="5"/>
  <c r="M32" i="5" s="1"/>
  <c r="O51" i="5" l="1"/>
  <c r="O52" i="5" s="1"/>
  <c r="U39" i="7"/>
  <c r="H14" i="11" s="1"/>
  <c r="Y14" i="12"/>
  <c r="P14" i="12" s="1"/>
  <c r="E14" i="12" s="1"/>
  <c r="P13" i="12"/>
  <c r="F29" i="7"/>
  <c r="E59" i="7"/>
  <c r="N34" i="5"/>
  <c r="F30" i="9" s="1"/>
  <c r="K13" i="12"/>
  <c r="G43" i="7"/>
  <c r="G13" i="7"/>
  <c r="H13" i="7" s="1"/>
  <c r="G28" i="7"/>
  <c r="K27" i="7"/>
  <c r="L27" i="7" s="1"/>
  <c r="L42" i="7" s="1"/>
  <c r="K42" i="7"/>
  <c r="AA13" i="12" s="1"/>
  <c r="C88" i="10"/>
  <c r="Q13" i="12"/>
  <c r="H13" i="12" s="1"/>
  <c r="K121" i="5"/>
  <c r="K122" i="5" s="1"/>
  <c r="O120" i="5"/>
  <c r="O123" i="5" s="1"/>
  <c r="O124" i="5" s="1"/>
  <c r="E12" i="7"/>
  <c r="F12" i="7" s="1"/>
  <c r="K26" i="7"/>
  <c r="L26" i="7" s="1"/>
  <c r="L41" i="7" s="1"/>
  <c r="C72" i="10"/>
  <c r="K41" i="7"/>
  <c r="K140" i="5"/>
  <c r="K141" i="5" s="1"/>
  <c r="O139" i="5"/>
  <c r="O142" i="5" s="1"/>
  <c r="O143" i="5" s="1"/>
  <c r="G27" i="7"/>
  <c r="H27" i="7" s="1"/>
  <c r="S94" i="5"/>
  <c r="T94" i="5" s="1"/>
  <c r="G12" i="7"/>
  <c r="H12" i="7" s="1"/>
  <c r="G42" i="7"/>
  <c r="W14" i="12"/>
  <c r="O14" i="12" s="1"/>
  <c r="W15" i="12"/>
  <c r="O15" i="12" s="1"/>
  <c r="O13" i="12"/>
  <c r="G44" i="7"/>
  <c r="G29" i="7"/>
  <c r="G14" i="7"/>
  <c r="H14" i="7" s="1"/>
  <c r="Q15" i="12"/>
  <c r="AG14" i="12"/>
  <c r="AG15" i="12"/>
  <c r="AG13" i="12"/>
  <c r="E27" i="7"/>
  <c r="E13" i="12"/>
  <c r="E15" i="12"/>
  <c r="K66" i="5"/>
  <c r="K67" i="5" s="1"/>
  <c r="U40" i="7" s="1"/>
  <c r="H15" i="11" s="1"/>
  <c r="O65" i="5"/>
  <c r="O68" i="5" s="1"/>
  <c r="O69" i="5" s="1"/>
  <c r="E40" i="7" s="1"/>
  <c r="T40" i="7" s="1"/>
  <c r="G15" i="11" s="1"/>
  <c r="C104" i="10"/>
  <c r="K43" i="7"/>
  <c r="AA14" i="12" s="1"/>
  <c r="K28" i="7"/>
  <c r="L28" i="7" s="1"/>
  <c r="L43" i="7" s="1"/>
  <c r="Q14" i="12"/>
  <c r="K14" i="12"/>
  <c r="E43" i="7"/>
  <c r="Q114" i="5"/>
  <c r="E28" i="7"/>
  <c r="E13" i="7"/>
  <c r="F13" i="7" s="1"/>
  <c r="H15" i="12"/>
  <c r="K83" i="5"/>
  <c r="K84" i="5" s="1"/>
  <c r="U41" i="7" s="1"/>
  <c r="H16" i="11" s="1"/>
  <c r="O82" i="5"/>
  <c r="O85" i="5" s="1"/>
  <c r="O86" i="5" s="1"/>
  <c r="E41" i="7" s="1"/>
  <c r="E42" i="7"/>
  <c r="K32" i="5"/>
  <c r="K33" i="5" s="1"/>
  <c r="U38" i="7" s="1"/>
  <c r="H13" i="11" s="1"/>
  <c r="O31" i="5"/>
  <c r="O34" i="5" s="1"/>
  <c r="O35" i="5" s="1"/>
  <c r="E38" i="7" s="1"/>
  <c r="N120" i="5"/>
  <c r="K14" i="5"/>
  <c r="K15" i="5" s="1"/>
  <c r="O13" i="5"/>
  <c r="I12" i="7"/>
  <c r="I27" i="7" s="1"/>
  <c r="D94" i="10"/>
  <c r="D95" i="10" s="1"/>
  <c r="T38" i="7"/>
  <c r="G13" i="11" s="1"/>
  <c r="E57" i="7"/>
  <c r="F27" i="7"/>
  <c r="J9" i="7"/>
  <c r="I24" i="7"/>
  <c r="D71" i="10"/>
  <c r="D78" i="10" s="1"/>
  <c r="D79" i="10" s="1"/>
  <c r="J10" i="7"/>
  <c r="I25" i="7"/>
  <c r="D110" i="10"/>
  <c r="D111" i="10" s="1"/>
  <c r="D55" i="10"/>
  <c r="D62" i="10" s="1"/>
  <c r="D63" i="10" s="1"/>
  <c r="J11" i="7"/>
  <c r="I26" i="7"/>
  <c r="J8" i="7"/>
  <c r="I23" i="7"/>
  <c r="I52" i="7"/>
  <c r="I37" i="7"/>
  <c r="J22" i="7"/>
  <c r="M53" i="7"/>
  <c r="N41" i="7"/>
  <c r="M14" i="7"/>
  <c r="N14" i="7" s="1"/>
  <c r="M12" i="7"/>
  <c r="N12" i="7" s="1"/>
  <c r="M26" i="7"/>
  <c r="N26" i="7" s="1"/>
  <c r="M58" i="7"/>
  <c r="M28" i="7"/>
  <c r="N28" i="7" s="1"/>
  <c r="M9" i="7"/>
  <c r="N9" i="7" s="1"/>
  <c r="M24" i="7"/>
  <c r="N24" i="7" s="1"/>
  <c r="M22" i="7"/>
  <c r="N22" i="7" s="1"/>
  <c r="N38" i="7"/>
  <c r="M59" i="7"/>
  <c r="N43" i="7"/>
  <c r="M23" i="7"/>
  <c r="N23" i="7" s="1"/>
  <c r="N39" i="7"/>
  <c r="W39" i="7" s="1"/>
  <c r="I14" i="11" s="1"/>
  <c r="M27" i="7"/>
  <c r="N27" i="7" s="1"/>
  <c r="M55" i="7"/>
  <c r="M52" i="7"/>
  <c r="N37" i="7"/>
  <c r="M25" i="7"/>
  <c r="N25" i="7" s="1"/>
  <c r="M13" i="7"/>
  <c r="N13" i="7" s="1"/>
  <c r="N40" i="7"/>
  <c r="N7" i="7"/>
  <c r="M56" i="7"/>
  <c r="M8" i="7"/>
  <c r="N8" i="7" s="1"/>
  <c r="N42" i="7"/>
  <c r="M57" i="7"/>
  <c r="M29" i="7"/>
  <c r="N29" i="7" s="1"/>
  <c r="M11" i="7"/>
  <c r="N11" i="7" s="1"/>
  <c r="N44" i="7"/>
  <c r="M54" i="7"/>
  <c r="M10" i="7"/>
  <c r="N10" i="7" s="1"/>
  <c r="D103" i="10"/>
  <c r="I29" i="7"/>
  <c r="J14" i="7"/>
  <c r="D119" i="10"/>
  <c r="D126" i="10" s="1"/>
  <c r="D127" i="10" s="1"/>
  <c r="E39" i="7"/>
  <c r="N51" i="5"/>
  <c r="K102" i="5"/>
  <c r="K103" i="5" s="1"/>
  <c r="O101" i="5"/>
  <c r="N101" i="5"/>
  <c r="N102" i="5"/>
  <c r="N139" i="5"/>
  <c r="N142" i="5" s="1"/>
  <c r="M139" i="5"/>
  <c r="M142" i="5" s="1"/>
  <c r="M120" i="5"/>
  <c r="M123" i="5" s="1"/>
  <c r="M101" i="5"/>
  <c r="M82" i="5"/>
  <c r="M85" i="5" s="1"/>
  <c r="M65" i="5"/>
  <c r="M68" i="5" s="1"/>
  <c r="M48" i="5"/>
  <c r="M51" i="5" s="1"/>
  <c r="M13" i="5"/>
  <c r="M14" i="5"/>
  <c r="M31" i="5"/>
  <c r="M69" i="5" l="1"/>
  <c r="E10" i="7" s="1"/>
  <c r="F10" i="7" s="1"/>
  <c r="B75" i="9"/>
  <c r="D75" i="9" s="1"/>
  <c r="D76" i="9" s="1"/>
  <c r="M86" i="5"/>
  <c r="E11" i="7" s="1"/>
  <c r="F11" i="7" s="1"/>
  <c r="B98" i="9"/>
  <c r="D98" i="9" s="1"/>
  <c r="D99" i="9" s="1"/>
  <c r="M143" i="5"/>
  <c r="B167" i="9"/>
  <c r="D167" i="9" s="1"/>
  <c r="D168" i="9" s="1"/>
  <c r="F28" i="7"/>
  <c r="E58" i="7"/>
  <c r="Q11" i="7"/>
  <c r="M124" i="5"/>
  <c r="B144" i="9"/>
  <c r="D144" i="9" s="1"/>
  <c r="D145" i="9" s="1"/>
  <c r="Q14" i="7"/>
  <c r="N35" i="5"/>
  <c r="E23" i="7" s="1"/>
  <c r="O16" i="5"/>
  <c r="O17" i="5" s="1"/>
  <c r="U37" i="7"/>
  <c r="H12" i="11" s="1"/>
  <c r="N16" i="5"/>
  <c r="N143" i="5"/>
  <c r="F168" i="9"/>
  <c r="Q10" i="7"/>
  <c r="M16" i="5"/>
  <c r="I13" i="7"/>
  <c r="H14" i="12"/>
  <c r="T41" i="7"/>
  <c r="G16" i="11" s="1"/>
  <c r="G58" i="7"/>
  <c r="H28" i="7"/>
  <c r="N85" i="5"/>
  <c r="N123" i="5"/>
  <c r="J12" i="7"/>
  <c r="Q12" i="7" s="1"/>
  <c r="G59" i="7"/>
  <c r="H29" i="7"/>
  <c r="N68" i="5"/>
  <c r="N104" i="5"/>
  <c r="W42" i="7"/>
  <c r="AE15" i="12"/>
  <c r="T42" i="7"/>
  <c r="AE14" i="12"/>
  <c r="AE13" i="12"/>
  <c r="W41" i="7"/>
  <c r="W43" i="7"/>
  <c r="T43" i="7"/>
  <c r="I44" i="7"/>
  <c r="I59" i="7"/>
  <c r="J29" i="7"/>
  <c r="I40" i="7"/>
  <c r="J25" i="7"/>
  <c r="I55" i="7"/>
  <c r="W38" i="7"/>
  <c r="V37" i="7"/>
  <c r="J12" i="11" s="1"/>
  <c r="W40" i="7"/>
  <c r="I39" i="7"/>
  <c r="V39" i="7" s="1"/>
  <c r="J14" i="11" s="1"/>
  <c r="I54" i="7"/>
  <c r="J24" i="7"/>
  <c r="I38" i="7"/>
  <c r="J23" i="7"/>
  <c r="I53" i="7"/>
  <c r="W37" i="7"/>
  <c r="I41" i="7"/>
  <c r="J26" i="7"/>
  <c r="I56" i="7"/>
  <c r="I28" i="7"/>
  <c r="J13" i="7"/>
  <c r="Q13" i="7" s="1"/>
  <c r="W44" i="7"/>
  <c r="T44" i="7"/>
  <c r="J27" i="7"/>
  <c r="Q27" i="7" s="1"/>
  <c r="I42" i="7"/>
  <c r="D42" i="7" s="1"/>
  <c r="I57" i="7"/>
  <c r="T39" i="7"/>
  <c r="N52" i="5"/>
  <c r="E24" i="7" s="1"/>
  <c r="F53" i="9"/>
  <c r="M52" i="5"/>
  <c r="E9" i="7" s="1"/>
  <c r="F9" i="7" s="1"/>
  <c r="Q9" i="7" s="1"/>
  <c r="B52" i="9"/>
  <c r="D52" i="9" s="1"/>
  <c r="D53" i="9" s="1"/>
  <c r="O104" i="5"/>
  <c r="O105" i="5" s="1"/>
  <c r="M104" i="5"/>
  <c r="N105" i="5"/>
  <c r="F122" i="9"/>
  <c r="C22" i="10"/>
  <c r="C30" i="10" s="1"/>
  <c r="C31" i="10" s="1"/>
  <c r="F46" i="9"/>
  <c r="M34" i="5"/>
  <c r="B29" i="9" s="1"/>
  <c r="D29" i="9" s="1"/>
  <c r="D30" i="9" s="1"/>
  <c r="N69" i="5" l="1"/>
  <c r="E25" i="7" s="1"/>
  <c r="F76" i="9"/>
  <c r="C118" i="10"/>
  <c r="C126" i="10" s="1"/>
  <c r="C127" i="10" s="1"/>
  <c r="F184" i="9"/>
  <c r="B118" i="10"/>
  <c r="B126" i="10" s="1"/>
  <c r="B127" i="10" s="1"/>
  <c r="D184" i="9"/>
  <c r="N124" i="5"/>
  <c r="F145" i="9"/>
  <c r="E37" i="7"/>
  <c r="D6" i="10"/>
  <c r="D14" i="10" s="1"/>
  <c r="D15" i="10" s="1"/>
  <c r="B70" i="10"/>
  <c r="B78" i="10" s="1"/>
  <c r="B79" i="10" s="1"/>
  <c r="D115" i="9"/>
  <c r="E53" i="7"/>
  <c r="F23" i="7"/>
  <c r="Q23" i="7" s="1"/>
  <c r="F7" i="9"/>
  <c r="N17" i="5"/>
  <c r="E22" i="7" s="1"/>
  <c r="B54" i="10"/>
  <c r="B62" i="10" s="1"/>
  <c r="B63" i="10" s="1"/>
  <c r="D92" i="9"/>
  <c r="B102" i="10"/>
  <c r="B110" i="10" s="1"/>
  <c r="B111" i="10" s="1"/>
  <c r="D161" i="9"/>
  <c r="D39" i="7"/>
  <c r="J39" i="7" s="1"/>
  <c r="N86" i="5"/>
  <c r="E26" i="7" s="1"/>
  <c r="F99" i="9"/>
  <c r="Q29" i="7"/>
  <c r="M17" i="5"/>
  <c r="E7" i="7" s="1"/>
  <c r="F7" i="7" s="1"/>
  <c r="Q7" i="7" s="1"/>
  <c r="B6" i="9"/>
  <c r="D6" i="9" s="1"/>
  <c r="D7" i="9" s="1"/>
  <c r="X43" i="7"/>
  <c r="I13" i="11"/>
  <c r="V38" i="7"/>
  <c r="J13" i="11" s="1"/>
  <c r="D38" i="7"/>
  <c r="J38" i="7" s="1"/>
  <c r="X44" i="7"/>
  <c r="I16" i="11"/>
  <c r="H42" i="7"/>
  <c r="F42" i="7"/>
  <c r="S42" i="7"/>
  <c r="M42" i="7"/>
  <c r="I12" i="11"/>
  <c r="V40" i="7"/>
  <c r="J15" i="11" s="1"/>
  <c r="D40" i="7"/>
  <c r="J40" i="7"/>
  <c r="D53" i="7"/>
  <c r="J53" i="7"/>
  <c r="I43" i="7"/>
  <c r="I58" i="7"/>
  <c r="J28" i="7"/>
  <c r="Q28" i="7" s="1"/>
  <c r="X42" i="7"/>
  <c r="I15" i="11"/>
  <c r="D59" i="7"/>
  <c r="J59" i="7"/>
  <c r="V41" i="7"/>
  <c r="J16" i="11" s="1"/>
  <c r="D41" i="7"/>
  <c r="D44" i="7"/>
  <c r="J44" i="7" s="1"/>
  <c r="G14" i="11"/>
  <c r="D14" i="11" s="1"/>
  <c r="X39" i="7"/>
  <c r="B38" i="10"/>
  <c r="B46" i="10" s="1"/>
  <c r="B47" i="10" s="1"/>
  <c r="D69" i="9"/>
  <c r="C38" i="10"/>
  <c r="C46" i="10" s="1"/>
  <c r="C47" i="10" s="1"/>
  <c r="F69" i="9"/>
  <c r="O39" i="7"/>
  <c r="E54" i="7"/>
  <c r="D54" i="7" s="1"/>
  <c r="F24" i="7"/>
  <c r="Q24" i="7" s="1"/>
  <c r="M105" i="5"/>
  <c r="B121" i="9"/>
  <c r="D121" i="9" s="1"/>
  <c r="D122" i="9" s="1"/>
  <c r="C86" i="10"/>
  <c r="C94" i="10" s="1"/>
  <c r="C95" i="10" s="1"/>
  <c r="F138" i="9"/>
  <c r="G57" i="7"/>
  <c r="D57" i="7" s="1"/>
  <c r="F57" i="7" s="1"/>
  <c r="B22" i="10"/>
  <c r="B30" i="10" s="1"/>
  <c r="B31" i="10" s="1"/>
  <c r="D46" i="9"/>
  <c r="M35" i="5"/>
  <c r="E8" i="7" s="1"/>
  <c r="F8" i="7" s="1"/>
  <c r="Q8" i="7" s="1"/>
  <c r="B6" i="10" l="1"/>
  <c r="B14" i="10" s="1"/>
  <c r="B15" i="10" s="1"/>
  <c r="D23" i="9"/>
  <c r="X40" i="7"/>
  <c r="E52" i="7"/>
  <c r="F22" i="7"/>
  <c r="Q22" i="7" s="1"/>
  <c r="C6" i="10"/>
  <c r="C14" i="10" s="1"/>
  <c r="C15" i="10" s="1"/>
  <c r="F23" i="9"/>
  <c r="H39" i="7"/>
  <c r="S39" i="7"/>
  <c r="C102" i="10"/>
  <c r="C110" i="10" s="1"/>
  <c r="C111" i="10" s="1"/>
  <c r="F161" i="9"/>
  <c r="F39" i="7"/>
  <c r="R39" i="7" s="1"/>
  <c r="T37" i="7"/>
  <c r="D37" i="7"/>
  <c r="F37" i="7"/>
  <c r="C70" i="10"/>
  <c r="C78" i="10" s="1"/>
  <c r="C79" i="10" s="1"/>
  <c r="F115" i="9"/>
  <c r="C54" i="10"/>
  <c r="C62" i="10" s="1"/>
  <c r="C63" i="10" s="1"/>
  <c r="F92" i="9"/>
  <c r="M39" i="7"/>
  <c r="Q39" i="7"/>
  <c r="X38" i="7"/>
  <c r="E56" i="7"/>
  <c r="D56" i="7" s="1"/>
  <c r="J56" i="7" s="1"/>
  <c r="F26" i="7"/>
  <c r="Q26" i="7" s="1"/>
  <c r="E55" i="7"/>
  <c r="D55" i="7" s="1"/>
  <c r="F25" i="7"/>
  <c r="Q25" i="7" s="1"/>
  <c r="D15" i="11"/>
  <c r="E15" i="11" s="1"/>
  <c r="E14" i="11"/>
  <c r="F55" i="7"/>
  <c r="L55" i="7"/>
  <c r="H55" i="7"/>
  <c r="P55" i="7"/>
  <c r="N55" i="7"/>
  <c r="D58" i="7"/>
  <c r="J58" i="7"/>
  <c r="D43" i="7"/>
  <c r="J43" i="7" s="1"/>
  <c r="M38" i="7"/>
  <c r="H38" i="7"/>
  <c r="F38" i="7"/>
  <c r="Q38" i="7"/>
  <c r="S38" i="7"/>
  <c r="O38" i="7"/>
  <c r="F59" i="7"/>
  <c r="P59" i="7"/>
  <c r="L59" i="7"/>
  <c r="H59" i="7"/>
  <c r="N59" i="7"/>
  <c r="F53" i="7"/>
  <c r="L53" i="7"/>
  <c r="P53" i="7"/>
  <c r="H53" i="7"/>
  <c r="N53" i="7"/>
  <c r="D13" i="11"/>
  <c r="M40" i="7"/>
  <c r="H40" i="7"/>
  <c r="Q40" i="7"/>
  <c r="S40" i="7"/>
  <c r="F40" i="7"/>
  <c r="O40" i="7"/>
  <c r="D16" i="11"/>
  <c r="F44" i="7"/>
  <c r="S44" i="7"/>
  <c r="H44" i="7"/>
  <c r="Q44" i="7"/>
  <c r="M44" i="7"/>
  <c r="O44" i="7"/>
  <c r="N13" i="12"/>
  <c r="D13" i="12" s="1"/>
  <c r="N15" i="12"/>
  <c r="D15" i="12" s="1"/>
  <c r="N14" i="12"/>
  <c r="D14" i="12" s="1"/>
  <c r="M41" i="7"/>
  <c r="Q41" i="7"/>
  <c r="S41" i="7"/>
  <c r="F41" i="7"/>
  <c r="H41" i="7"/>
  <c r="O41" i="7"/>
  <c r="X41" i="7"/>
  <c r="J41" i="7"/>
  <c r="J55" i="7"/>
  <c r="F54" i="7"/>
  <c r="L54" i="7"/>
  <c r="N54" i="7"/>
  <c r="J54" i="7"/>
  <c r="H54" i="7"/>
  <c r="P54" i="7"/>
  <c r="H57" i="7"/>
  <c r="N57" i="7"/>
  <c r="P57" i="7"/>
  <c r="L57" i="7"/>
  <c r="J57" i="7"/>
  <c r="O42" i="7"/>
  <c r="J42" i="7"/>
  <c r="Q42" i="7"/>
  <c r="B86" i="10"/>
  <c r="B94" i="10" s="1"/>
  <c r="B95" i="10" s="1"/>
  <c r="D138" i="9"/>
  <c r="R40" i="7" l="1"/>
  <c r="Q55" i="7"/>
  <c r="D52" i="7"/>
  <c r="E24" i="11"/>
  <c r="N56" i="7"/>
  <c r="H56" i="7"/>
  <c r="P56" i="7"/>
  <c r="O37" i="7"/>
  <c r="H37" i="7"/>
  <c r="R37" i="7" s="1"/>
  <c r="Q37" i="7"/>
  <c r="M37" i="7"/>
  <c r="S37" i="7"/>
  <c r="J37" i="7"/>
  <c r="L56" i="7"/>
  <c r="F56" i="7"/>
  <c r="G12" i="11"/>
  <c r="D12" i="11" s="1"/>
  <c r="E12" i="11" s="1"/>
  <c r="X37" i="7"/>
  <c r="E16" i="11"/>
  <c r="E25" i="11" s="1"/>
  <c r="E13" i="11"/>
  <c r="E22" i="11" s="1"/>
  <c r="Q56" i="7"/>
  <c r="F43" i="7"/>
  <c r="H43" i="7"/>
  <c r="Q43" i="7"/>
  <c r="M43" i="7"/>
  <c r="O43" i="7"/>
  <c r="S43" i="7"/>
  <c r="R44" i="7"/>
  <c r="F58" i="7"/>
  <c r="L58" i="7"/>
  <c r="N58" i="7"/>
  <c r="P58" i="7"/>
  <c r="H58" i="7"/>
  <c r="R38" i="7"/>
  <c r="Q53" i="7"/>
  <c r="R41" i="7"/>
  <c r="Q59" i="7"/>
  <c r="Q54" i="7"/>
  <c r="R42" i="7"/>
  <c r="Q57" i="7"/>
  <c r="N52" i="7" l="1"/>
  <c r="J52" i="7"/>
  <c r="P52" i="7"/>
  <c r="L52" i="7"/>
  <c r="H52" i="7"/>
  <c r="F52" i="7"/>
  <c r="Q52" i="7" s="1"/>
  <c r="E23" i="11"/>
  <c r="F14" i="12"/>
  <c r="F13" i="12"/>
  <c r="D18" i="11" s="1"/>
  <c r="E18" i="11" s="1"/>
  <c r="F15" i="12"/>
  <c r="D20" i="11" s="1"/>
  <c r="E20" i="11" s="1"/>
  <c r="T14" i="12"/>
  <c r="Q58" i="7"/>
  <c r="R43" i="7"/>
  <c r="AF14" i="12" l="1"/>
  <c r="D19" i="11"/>
  <c r="E19" i="11" s="1"/>
  <c r="V14" i="12"/>
  <c r="AB14" i="12"/>
  <c r="X14" i="12"/>
  <c r="AH14" i="12"/>
  <c r="Z14" i="12"/>
  <c r="AD14" i="12" s="1"/>
  <c r="R14" i="12"/>
  <c r="AF15" i="12"/>
  <c r="T15" i="12"/>
  <c r="X15" i="12"/>
  <c r="Z15" i="12"/>
  <c r="AD15" i="12" s="1"/>
  <c r="R15" i="12"/>
  <c r="AH15" i="12"/>
  <c r="V15" i="12"/>
  <c r="AB15" i="12"/>
  <c r="AH13" i="12"/>
  <c r="R13" i="12"/>
  <c r="T13" i="12"/>
  <c r="Z13" i="12"/>
  <c r="AD13" i="12" s="1"/>
  <c r="X13" i="12"/>
  <c r="V13" i="12"/>
  <c r="AF13" i="12"/>
  <c r="AB13" i="12"/>
  <c r="AI14" i="12" l="1"/>
  <c r="AI13" i="12"/>
  <c r="AI15" i="12"/>
</calcChain>
</file>

<file path=xl/sharedStrings.xml><?xml version="1.0" encoding="utf-8"?>
<sst xmlns="http://schemas.openxmlformats.org/spreadsheetml/2006/main" count="1122" uniqueCount="224">
  <si>
    <t>Extrusion Costing</t>
  </si>
  <si>
    <t>Details</t>
  </si>
  <si>
    <t>Costing</t>
  </si>
  <si>
    <t>Info</t>
  </si>
  <si>
    <t>EA Stock Number</t>
  </si>
  <si>
    <t>Description</t>
  </si>
  <si>
    <t>Add Work</t>
  </si>
  <si>
    <t>Status</t>
  </si>
  <si>
    <t>Section No</t>
  </si>
  <si>
    <t>Size</t>
  </si>
  <si>
    <t>Linear Weight</t>
  </si>
  <si>
    <t>Cut Length</t>
  </si>
  <si>
    <t>Item
Qty</t>
  </si>
  <si>
    <t>Total Weight</t>
  </si>
  <si>
    <t>Naked Cost/ pc (RM)</t>
  </si>
  <si>
    <t>Existing Profile</t>
  </si>
  <si>
    <t>UA1711</t>
  </si>
  <si>
    <t>60x60x6 Angle</t>
  </si>
  <si>
    <t>Drill as shown</t>
  </si>
  <si>
    <t>EA 6097</t>
  </si>
  <si>
    <t>60.00mm x 60.00mm x 6.00mm</t>
  </si>
  <si>
    <t>Similar Profile</t>
  </si>
  <si>
    <t>UA3178</t>
  </si>
  <si>
    <t>50x50x3 RHS</t>
  </si>
  <si>
    <t>SH 4029</t>
  </si>
  <si>
    <t>50.80mm x 50.80mm x 3.00mm</t>
  </si>
  <si>
    <t>New Profile</t>
  </si>
  <si>
    <t>614511</t>
  </si>
  <si>
    <t>50x50x3 T-Slot RHS</t>
  </si>
  <si>
    <t>Sub total weight</t>
  </si>
  <si>
    <t>Price/kg</t>
  </si>
  <si>
    <t>Total for NAR</t>
  </si>
  <si>
    <t>Total weight + 3% for EA</t>
  </si>
  <si>
    <t>To quote EA based on total weight + 3% (10%) (RM)</t>
  </si>
  <si>
    <t>To quote EA (10%) (USD)</t>
  </si>
  <si>
    <t>XLMP-1.2 Ladder</t>
  </si>
  <si>
    <t>L04</t>
  </si>
  <si>
    <t>Drill as shown. Trim as shown.</t>
  </si>
  <si>
    <t>L03</t>
  </si>
  <si>
    <t>UA1123</t>
  </si>
  <si>
    <t>50x50x6 Angle</t>
  </si>
  <si>
    <t>EA 6092</t>
  </si>
  <si>
    <t>50.80mm x 50.80mm x 6.00mm</t>
  </si>
  <si>
    <t>L05</t>
  </si>
  <si>
    <t>L01</t>
  </si>
  <si>
    <t>L02</t>
  </si>
  <si>
    <t>65556598</t>
  </si>
  <si>
    <t>DSL Rung 38x32x2</t>
  </si>
  <si>
    <t>XLMP-0.9 Ladder</t>
  </si>
  <si>
    <t>C2464</t>
  </si>
  <si>
    <t>C2465</t>
  </si>
  <si>
    <t>PRODUCT MODEL</t>
  </si>
  <si>
    <t>XLMP0.9LDR</t>
  </si>
  <si>
    <t>XLMP1.2LDR</t>
  </si>
  <si>
    <t>XLMP1.5LDR</t>
  </si>
  <si>
    <t>XLMP1.8LDR</t>
  </si>
  <si>
    <t>XLMP2.1LDR</t>
  </si>
  <si>
    <t>XLMP2.4LDR</t>
  </si>
  <si>
    <t>XLMP2.7LDR</t>
  </si>
  <si>
    <t>XLMP3.0LDR</t>
  </si>
  <si>
    <t>TARGET PRICE/UNIT</t>
  </si>
  <si>
    <t>XLMP-1.5 Ladder</t>
  </si>
  <si>
    <t>XLMP-1.8 Ladder</t>
  </si>
  <si>
    <t>XLMP-2.4 Ladder</t>
  </si>
  <si>
    <t>XLMP-2.1 Ladder</t>
  </si>
  <si>
    <t>C01</t>
  </si>
  <si>
    <t>Silo Ladder Slat Extrusion</t>
  </si>
  <si>
    <t>XLMP-2.7 Ladder</t>
  </si>
  <si>
    <t>XLMP-3.0 Ladder</t>
  </si>
  <si>
    <t>UA1192</t>
  </si>
  <si>
    <t>FB1062</t>
  </si>
  <si>
    <t>50.00mm x 18.00mm x 4.00mm</t>
  </si>
  <si>
    <t>Silo Ladder Hoop 50.00mm x 6.00mm Fbar</t>
  </si>
  <si>
    <t>50.80mm x 6.00mm</t>
  </si>
  <si>
    <t>Accessories &amp; Other Parts Costings</t>
  </si>
  <si>
    <t>Photo</t>
  </si>
  <si>
    <t>Parts</t>
  </si>
  <si>
    <t>Naked Cost (RM)</t>
  </si>
  <si>
    <t>Qty</t>
  </si>
  <si>
    <t>EA Target Cost (USD)</t>
  </si>
  <si>
    <t>Price to Quote EA (USD)</t>
  </si>
  <si>
    <t>Price to Quote EA (RM)</t>
  </si>
  <si>
    <t xml:space="preserve">Profit </t>
  </si>
  <si>
    <t>NAR</t>
  </si>
  <si>
    <t>LADDERTECH</t>
  </si>
  <si>
    <t>Remarks</t>
  </si>
  <si>
    <t>70% Profit Sharing (RM)</t>
  </si>
  <si>
    <t>Cost to Insert In PO/pc (RM)</t>
  </si>
  <si>
    <t>30% Profit Sharing (RM)</t>
  </si>
  <si>
    <t>1) Other Materials</t>
  </si>
  <si>
    <t>Steps</t>
  </si>
  <si>
    <t>3) Packaging Material by NAR</t>
  </si>
  <si>
    <t>Cardboard &amp; Strecth Film</t>
  </si>
  <si>
    <t>4) Bolt &amp; Nut</t>
  </si>
  <si>
    <t>M10x20T</t>
  </si>
  <si>
    <t>Laddertech open mould and direct give RM0.30 to NAR</t>
  </si>
  <si>
    <t>M10NUT</t>
  </si>
  <si>
    <t>Own markup for Price quoted to EA. No %</t>
  </si>
  <si>
    <t>60% Profit Sharing (RM)</t>
  </si>
  <si>
    <t>40% Profit Sharing (RM)</t>
  </si>
  <si>
    <t>PARTS BY LADDERTECH</t>
  </si>
  <si>
    <t>Price to Quote  EA (RM)</t>
  </si>
  <si>
    <t>6) Packaging Material by LADDERTECH (Estimation based on WHDP + 20% Markup)</t>
  </si>
  <si>
    <t>*We did not have any information on the packaging SOP yet</t>
  </si>
  <si>
    <t>Fragile tape (4 rolls/ ladder)</t>
  </si>
  <si>
    <t>Carton box</t>
  </si>
  <si>
    <t>Subtotal</t>
  </si>
  <si>
    <t xml:space="preserve">7) Marketing Materials by LADDERTECH (Estimation based on WHDP + 15% Markup) </t>
  </si>
  <si>
    <t>*We did not have complete information on the marketing materials</t>
  </si>
  <si>
    <t>Booklet &amp; Zipper Bag</t>
  </si>
  <si>
    <t>PVC Card</t>
  </si>
  <si>
    <t>Sticker Set</t>
  </si>
  <si>
    <t>Q/A Sticker</t>
  </si>
  <si>
    <t>8) FOB (Estimation based on WHDP)</t>
  </si>
  <si>
    <t>FOB</t>
  </si>
  <si>
    <t>PARTS BY NAR 7:3 Profit Sharing (3 &amp; 4 STEPS)</t>
  </si>
  <si>
    <t>Griptread Nosing50mm</t>
  </si>
  <si>
    <r>
      <t>PARTS BY NAR 6:4 Profit Sharing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color theme="0"/>
        <rFont val="Calibri"/>
        <family val="2"/>
        <scheme val="minor"/>
      </rPr>
      <t>(5 - 10 STEPS)</t>
    </r>
  </si>
  <si>
    <t>TO QUOTE EA (PARTS BY NAR)</t>
  </si>
  <si>
    <t>Price to Quote EA/pc (RM)</t>
  </si>
  <si>
    <t>Total Price to Quote EA (RM)</t>
  </si>
  <si>
    <t>1) Aluminium Extrusion (AA6061-T6)</t>
  </si>
  <si>
    <t>One Ladder</t>
  </si>
  <si>
    <t>2) Other Materials</t>
  </si>
  <si>
    <t>4) Packaging Material by NAR</t>
  </si>
  <si>
    <t>Total Price</t>
  </si>
  <si>
    <r>
      <t xml:space="preserve">XLMP-0.9 - Ladder - 3 Steps </t>
    </r>
    <r>
      <rPr>
        <b/>
        <sz val="16"/>
        <color rgb="FFFF0000"/>
        <rFont val="Calibri"/>
        <family val="2"/>
        <scheme val="minor"/>
      </rPr>
      <t>(XLMP0.9LDR)</t>
    </r>
  </si>
  <si>
    <t>Overall ladder</t>
  </si>
  <si>
    <t>Rivet</t>
  </si>
  <si>
    <t>5) Bolt &amp; Nut</t>
  </si>
  <si>
    <t>3) CNC &amp; Welding (Based on Laser)</t>
  </si>
  <si>
    <t>2) CNC &amp; Welding (Based on Laser)</t>
  </si>
  <si>
    <t>AA6061-T6 = RM25.00/kg
Refer Extrusion Costing Sheet</t>
  </si>
  <si>
    <t>RM22/KG</t>
  </si>
  <si>
    <r>
      <t xml:space="preserve">XLMP-1.2 - Ladder - 4 Steps </t>
    </r>
    <r>
      <rPr>
        <b/>
        <sz val="16"/>
        <color rgb="FFFF0000"/>
        <rFont val="Calibri"/>
        <family val="2"/>
        <scheme val="minor"/>
      </rPr>
      <t>(XLMP1.2LDR)</t>
    </r>
  </si>
  <si>
    <r>
      <t xml:space="preserve">XLMP-1.5 - Ladder - 5 Steps </t>
    </r>
    <r>
      <rPr>
        <b/>
        <sz val="16"/>
        <color rgb="FFFF0000"/>
        <rFont val="Calibri"/>
        <family val="2"/>
        <scheme val="minor"/>
      </rPr>
      <t>(XLMP1.5LDR)</t>
    </r>
  </si>
  <si>
    <r>
      <t xml:space="preserve">XLMP-1.8 - Ladder - 6 Steps </t>
    </r>
    <r>
      <rPr>
        <b/>
        <sz val="16"/>
        <color rgb="FFFF0000"/>
        <rFont val="Calibri"/>
        <family val="2"/>
        <scheme val="minor"/>
      </rPr>
      <t>(XLMP1.8LDR)</t>
    </r>
  </si>
  <si>
    <r>
      <t xml:space="preserve">XLMP-2.1 - Ladder - 7 Steps </t>
    </r>
    <r>
      <rPr>
        <b/>
        <sz val="16"/>
        <color rgb="FFFF0000"/>
        <rFont val="Calibri"/>
        <family val="2"/>
        <scheme val="minor"/>
      </rPr>
      <t>(XLMP2.1LDR)</t>
    </r>
  </si>
  <si>
    <r>
      <t xml:space="preserve">XLMP-2.4 - Ladder - 8 Steps </t>
    </r>
    <r>
      <rPr>
        <b/>
        <sz val="16"/>
        <color rgb="FFFF0000"/>
        <rFont val="Calibri"/>
        <family val="2"/>
        <scheme val="minor"/>
      </rPr>
      <t>(XLMP2.4LDR)</t>
    </r>
  </si>
  <si>
    <r>
      <t xml:space="preserve">XLMP-2.7 - Ladder - 9 Steps </t>
    </r>
    <r>
      <rPr>
        <b/>
        <sz val="16"/>
        <color rgb="FFFF0000"/>
        <rFont val="Calibri"/>
        <family val="2"/>
        <scheme val="minor"/>
      </rPr>
      <t>(XLMP2.7LDR)</t>
    </r>
  </si>
  <si>
    <r>
      <t xml:space="preserve">XLMP-3.0 - Ladder - 10 Steps </t>
    </r>
    <r>
      <rPr>
        <b/>
        <sz val="16"/>
        <color rgb="FFFF0000"/>
        <rFont val="Calibri"/>
        <family val="2"/>
        <scheme val="minor"/>
      </rPr>
      <t>(XLMP3.0LDR)</t>
    </r>
  </si>
  <si>
    <t>Aluminium Extrusion (AA6061-T6)</t>
  </si>
  <si>
    <t>Packaging Material by NAR</t>
  </si>
  <si>
    <t>Packaging Material by LADDERTECH</t>
  </si>
  <si>
    <t>Marketing Materials by LADDERTECH</t>
  </si>
  <si>
    <t>To Quote/ Unit (RM)</t>
  </si>
  <si>
    <t>To Quote (USD)/ Unit</t>
  </si>
  <si>
    <t>Final To Quote (USD)/ Unit</t>
  </si>
  <si>
    <t>TO QUOTE EA (NAR PARTS) - Currency USD3.80</t>
  </si>
  <si>
    <t>Bolt &amp; Nut</t>
  </si>
  <si>
    <r>
      <t xml:space="preserve">Other Materials </t>
    </r>
    <r>
      <rPr>
        <b/>
        <i/>
        <sz val="11"/>
        <color theme="1"/>
        <rFont val="Calibri"/>
        <family val="2"/>
        <scheme val="minor"/>
      </rPr>
      <t>(Est. from SBS Fiberglass Nosing)</t>
    </r>
  </si>
  <si>
    <r>
      <t xml:space="preserve">CNC &amp; Welding </t>
    </r>
    <r>
      <rPr>
        <b/>
        <i/>
        <sz val="11"/>
        <color theme="1"/>
        <rFont val="Calibri"/>
        <family val="2"/>
        <scheme val="minor"/>
      </rPr>
      <t>(Est. from STO vertical laser welding)</t>
    </r>
  </si>
  <si>
    <t>Total to Quote (RM)
RM25/kg
USD3.80</t>
  </si>
  <si>
    <t>Total to Quote (RM)
RM22/kg
USD3.80
Welding (-5%)</t>
  </si>
  <si>
    <t>Currency USD3.80</t>
  </si>
  <si>
    <r>
      <t xml:space="preserve">XLMP-1.2- Ladder - 4 Steps </t>
    </r>
    <r>
      <rPr>
        <b/>
        <sz val="16"/>
        <color rgb="FFFF0000"/>
        <rFont val="Calibri"/>
        <family val="2"/>
        <scheme val="minor"/>
      </rPr>
      <t>(XLMP1.2LDR)</t>
    </r>
  </si>
  <si>
    <r>
      <t xml:space="preserve">XLMP-1.5- Ladder - 5 Steps </t>
    </r>
    <r>
      <rPr>
        <b/>
        <sz val="16"/>
        <color rgb="FFFF0000"/>
        <rFont val="Calibri"/>
        <family val="2"/>
        <scheme val="minor"/>
      </rPr>
      <t>(XLMP1.5LDR)</t>
    </r>
  </si>
  <si>
    <r>
      <t xml:space="preserve">XLMP-1.8- Ladder - 6 Steps </t>
    </r>
    <r>
      <rPr>
        <b/>
        <sz val="16"/>
        <color rgb="FFFF0000"/>
        <rFont val="Calibri"/>
        <family val="2"/>
        <scheme val="minor"/>
      </rPr>
      <t>(XLMP1.8LDR)</t>
    </r>
  </si>
  <si>
    <r>
      <t xml:space="preserve">XLMP-2.1- Ladder - 7 Steps </t>
    </r>
    <r>
      <rPr>
        <b/>
        <sz val="16"/>
        <color rgb="FFFF0000"/>
        <rFont val="Calibri"/>
        <family val="2"/>
        <scheme val="minor"/>
      </rPr>
      <t>(XLMP2.1LDR)</t>
    </r>
  </si>
  <si>
    <r>
      <t xml:space="preserve">XLMP-2.4- Ladder - 8 Steps </t>
    </r>
    <r>
      <rPr>
        <b/>
        <sz val="16"/>
        <color rgb="FFFF0000"/>
        <rFont val="Calibri"/>
        <family val="2"/>
        <scheme val="minor"/>
      </rPr>
      <t>(XLMP2.4LDR)</t>
    </r>
  </si>
  <si>
    <r>
      <t xml:space="preserve">XLMP-2.7- Ladder - 9 Steps </t>
    </r>
    <r>
      <rPr>
        <b/>
        <sz val="16"/>
        <color rgb="FFFF0000"/>
        <rFont val="Calibri"/>
        <family val="2"/>
        <scheme val="minor"/>
      </rPr>
      <t>(XLMP2.7LDR)</t>
    </r>
  </si>
  <si>
    <r>
      <t xml:space="preserve">XLMP-3.0- Ladder - 10 Steps </t>
    </r>
    <r>
      <rPr>
        <b/>
        <sz val="16"/>
        <color rgb="FFFF0000"/>
        <rFont val="Calibri"/>
        <family val="2"/>
        <scheme val="minor"/>
      </rPr>
      <t>(XLMP3.0LDR)</t>
    </r>
  </si>
  <si>
    <t>XLMP LADDER (BREAKDOWN)</t>
  </si>
  <si>
    <t>FIBERGLASS NOSING
BOLT &amp; NUT</t>
  </si>
  <si>
    <t>FINAL TO QUOTE/ UNIT</t>
  </si>
  <si>
    <t>RM25/kg, USD3.80, FIBERGLASS NOSING BASED ON SBS, MIG WELDING BASED ON STEPOVER VERTICAL LASER COST</t>
  </si>
  <si>
    <t>CNC &amp; MIG WELDING (EST FROM STO VERTICAL COST)</t>
  </si>
  <si>
    <t>BASED ON FINAL TO QUOTE</t>
  </si>
  <si>
    <t>%</t>
  </si>
  <si>
    <t>EXTRUSION</t>
  </si>
  <si>
    <t>PACKAGING &amp; MARKETING MATERIAL</t>
  </si>
  <si>
    <r>
      <rPr>
        <b/>
        <i/>
        <sz val="16"/>
        <color rgb="FF7030A0"/>
        <rFont val="Calibri"/>
        <family val="2"/>
        <scheme val="minor"/>
      </rPr>
      <t>RM22/kg,</t>
    </r>
    <r>
      <rPr>
        <b/>
        <i/>
        <sz val="16"/>
        <color rgb="FFFF0000"/>
        <rFont val="Calibri"/>
        <family val="2"/>
        <scheme val="minor"/>
      </rPr>
      <t xml:space="preserve"> USD3.80, FIBERGLASS NOSING BASED ON SBS, </t>
    </r>
    <r>
      <rPr>
        <b/>
        <i/>
        <sz val="16"/>
        <color rgb="FF7030A0"/>
        <rFont val="Calibri"/>
        <family val="2"/>
        <scheme val="minor"/>
      </rPr>
      <t>MIG WELDING BASED ON STEPOVER VERTICAL LASER COST (-5%)</t>
    </r>
  </si>
  <si>
    <t>CHATGPT CALCULATION</t>
  </si>
  <si>
    <r>
      <rPr>
        <b/>
        <i/>
        <sz val="16"/>
        <color rgb="FF5B9BD5"/>
        <rFont val="Calibri"/>
        <family val="2"/>
        <scheme val="minor"/>
      </rPr>
      <t>RM22/kg,</t>
    </r>
    <r>
      <rPr>
        <b/>
        <i/>
        <sz val="16"/>
        <color rgb="FFFF0000"/>
        <rFont val="Calibri"/>
        <family val="2"/>
        <scheme val="minor"/>
      </rPr>
      <t xml:space="preserve"> USD3.80, FIBERGLASS NOSING BASED ON SBS, </t>
    </r>
    <r>
      <rPr>
        <b/>
        <i/>
        <sz val="16"/>
        <color rgb="FF5B9BD5"/>
        <rFont val="Calibri"/>
        <family val="2"/>
        <scheme val="minor"/>
      </rPr>
      <t>MIG WELDING BASED ON CHATGPT CALCULATION</t>
    </r>
  </si>
  <si>
    <t>CNC &amp; MIG WELDING (-5%)</t>
  </si>
  <si>
    <r>
      <rPr>
        <b/>
        <i/>
        <sz val="16"/>
        <color rgb="FF7030A0"/>
        <rFont val="Calibri"/>
        <family val="2"/>
        <scheme val="minor"/>
      </rPr>
      <t>RM22/kg,</t>
    </r>
    <r>
      <rPr>
        <b/>
        <i/>
        <sz val="16"/>
        <color theme="5"/>
        <rFont val="Calibri"/>
        <family val="2"/>
        <scheme val="minor"/>
      </rPr>
      <t xml:space="preserve"> USD3.90,</t>
    </r>
    <r>
      <rPr>
        <b/>
        <i/>
        <sz val="16"/>
        <color rgb="FFFF0000"/>
        <rFont val="Calibri"/>
        <family val="2"/>
        <scheme val="minor"/>
      </rPr>
      <t xml:space="preserve"> FIBERGLASS NOSING BASED ON SBS, </t>
    </r>
    <r>
      <rPr>
        <b/>
        <i/>
        <sz val="16"/>
        <color rgb="FF7030A0"/>
        <rFont val="Calibri"/>
        <family val="2"/>
        <scheme val="minor"/>
      </rPr>
      <t>MIG WELDING BASED ON STEPOVER VERTICAL LASER COST (-5%)</t>
    </r>
  </si>
  <si>
    <t>Ladder</t>
  </si>
  <si>
    <t>LADDER</t>
  </si>
  <si>
    <t>CAGE</t>
  </si>
  <si>
    <t>Cage</t>
  </si>
  <si>
    <t>LADDER PHOTOS</t>
  </si>
  <si>
    <t>0.9 - 2.1</t>
  </si>
  <si>
    <t>2.4 - 2.7</t>
  </si>
  <si>
    <t>XLMP0.9LDR - XLMP2.1LDR</t>
  </si>
  <si>
    <r>
      <rPr>
        <b/>
        <sz val="11"/>
        <color theme="1"/>
        <rFont val="Calibri"/>
        <family val="2"/>
        <scheme val="minor"/>
      </rPr>
      <t>NO CAGE</t>
    </r>
    <r>
      <rPr>
        <sz val="11"/>
        <color theme="1"/>
        <rFont val="Calibri"/>
        <family val="2"/>
        <scheme val="minor"/>
      </rPr>
      <t xml:space="preserve">
3 - 7 STEPS</t>
    </r>
  </si>
  <si>
    <t>NOSING LADDER</t>
  </si>
  <si>
    <t>BOLT &amp; NUT LADDER</t>
  </si>
  <si>
    <t>BOLT &amp; NUT CAGE</t>
  </si>
  <si>
    <r>
      <rPr>
        <b/>
        <sz val="11"/>
        <color theme="1"/>
        <rFont val="Calibri"/>
        <family val="2"/>
        <scheme val="minor"/>
      </rPr>
      <t>3 CAGE RINGS</t>
    </r>
    <r>
      <rPr>
        <sz val="11"/>
        <color theme="1"/>
        <rFont val="Calibri"/>
        <family val="2"/>
        <scheme val="minor"/>
      </rPr>
      <t xml:space="preserve">
10 STEPS
CAGE HEIGHT: 2165MM</t>
    </r>
  </si>
  <si>
    <t>FIBERGLASS NOSING &amp;
BOLT &amp; NUT</t>
  </si>
  <si>
    <t>LADDER
NOSING, BOLT &amp; NUT</t>
  </si>
  <si>
    <t>CAGE
BOLT &amp; NUT</t>
  </si>
  <si>
    <t>LADDER
CNC &amp; WELDING</t>
  </si>
  <si>
    <t>CAGE
NO WELDING
CNC &amp; BENDING</t>
  </si>
  <si>
    <r>
      <t xml:space="preserve">FINAL PRICE/KG
</t>
    </r>
    <r>
      <rPr>
        <b/>
        <sz val="10"/>
        <color theme="0"/>
        <rFont val="Calibri"/>
        <family val="2"/>
        <scheme val="minor"/>
      </rPr>
      <t>WHOLE LADDER</t>
    </r>
  </si>
  <si>
    <r>
      <rPr>
        <b/>
        <sz val="11"/>
        <color theme="1"/>
        <rFont val="Calibri"/>
        <family val="2"/>
        <scheme val="minor"/>
      </rPr>
      <t>2 CAGE RINGS</t>
    </r>
    <r>
      <rPr>
        <sz val="11"/>
        <color theme="1"/>
        <rFont val="Calibri"/>
        <family val="2"/>
        <scheme val="minor"/>
      </rPr>
      <t xml:space="preserve">
9 STEPS
CAGE HEIGHT: </t>
    </r>
    <r>
      <rPr>
        <b/>
        <sz val="11"/>
        <color rgb="FFFF0000"/>
        <rFont val="Calibri"/>
        <family val="2"/>
        <scheme val="minor"/>
      </rPr>
      <t>1865MM</t>
    </r>
  </si>
  <si>
    <t>CAGE VERTICAL BAR</t>
  </si>
  <si>
    <t>CAGE RING</t>
  </si>
  <si>
    <t>MODEL WITH CAGE</t>
  </si>
  <si>
    <t>WHOLE SET</t>
  </si>
  <si>
    <t>MODEL WITH NO CAGE</t>
  </si>
  <si>
    <t>EA TARGET PRICE/ UNIT</t>
  </si>
  <si>
    <r>
      <rPr>
        <b/>
        <sz val="11"/>
        <color theme="1"/>
        <rFont val="Calibri"/>
        <family val="2"/>
        <scheme val="minor"/>
      </rPr>
      <t>2 CAGE RINGS</t>
    </r>
    <r>
      <rPr>
        <sz val="11"/>
        <color theme="1"/>
        <rFont val="Calibri"/>
        <family val="2"/>
        <scheme val="minor"/>
      </rPr>
      <t xml:space="preserve">
8 STEPS
CAGE HEIGHT: </t>
    </r>
    <r>
      <rPr>
        <b/>
        <sz val="11"/>
        <color rgb="FFFF0000"/>
        <rFont val="Calibri"/>
        <family val="2"/>
        <scheme val="minor"/>
      </rPr>
      <t>1565MM</t>
    </r>
  </si>
  <si>
    <t>FINAL PRICE/ UNIT
PACKAGING, STICKER, &amp; FOB</t>
  </si>
  <si>
    <t>WEIGHT/ UNIT (KG)</t>
  </si>
  <si>
    <t>LADDER WEIGHT/ UNIT (KG)</t>
  </si>
  <si>
    <t>W/O CAGE</t>
  </si>
  <si>
    <t>W/ CAGE</t>
  </si>
  <si>
    <t>PRICE/ UNIT
 PACKAGING, STICKER &amp; FOB</t>
  </si>
  <si>
    <t>FINAL PRICE/KG
WHOLE LADDER</t>
  </si>
  <si>
    <t>EA ESTIMATE TARGET PRICE/UNIT
(REVERSE CALCULATION)</t>
  </si>
  <si>
    <t>FINAL PRICE/KG
EXCLUDE PACKAGING, STICKER, &amp; FOB</t>
  </si>
  <si>
    <t>FINAL PRICE/ UNIT
FIBERGLASS NOSING
BOLT &amp; NUT</t>
  </si>
  <si>
    <t>PRICE/ UNIT
FIBERGLASS NOSING
BOLT &amp; NUT</t>
  </si>
  <si>
    <r>
      <t xml:space="preserve">FINAL PRICE/KG
</t>
    </r>
    <r>
      <rPr>
        <b/>
        <i/>
        <sz val="10"/>
        <color theme="0"/>
        <rFont val="Calibri"/>
        <family val="2"/>
        <scheme val="minor"/>
      </rPr>
      <t>EXCLUDE FIBERGLASS NOSING, BOLT &amp; NUT, PACKAGING, STICKER &amp; FOB</t>
    </r>
  </si>
  <si>
    <t>LADDER
RM22/KG</t>
  </si>
  <si>
    <t>CAGE VERTICAL BAR
RM22/KG</t>
  </si>
  <si>
    <t>CAGE RING
RM30/KG</t>
  </si>
  <si>
    <t>PRICE/ UNIT</t>
  </si>
  <si>
    <t>LADDER
FIBERGLASS NOSING
BOLT &amp; NUT</t>
  </si>
  <si>
    <t>ROUNDED OFF FINAL TO QUOTE/ UNIT</t>
  </si>
  <si>
    <t>(-15%)</t>
  </si>
  <si>
    <t>EA saves USD30.00</t>
  </si>
  <si>
    <t>OUR FINAL TO QUOTE DIFF FROM
TARGET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</si>
</sst>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&quot;RM&quot;#,##0.00"/>
    <numFmt numFmtId="166" formatCode="[$USD]\ #,##0.00"/>
    <numFmt numFmtId="167" formatCode="0.0"/>
    <numFmt numFmtId="168" formatCode="[$RM-4409]#,##0.00"/>
  </numFmts>
  <fonts count="3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i/>
      <sz val="16"/>
      <color rgb="FF7030A0"/>
      <name val="Calibri"/>
      <family val="2"/>
      <scheme val="minor"/>
    </font>
    <font>
      <b/>
      <i/>
      <sz val="16"/>
      <color rgb="FF5B9BD5"/>
      <name val="Calibri"/>
      <family val="2"/>
      <scheme val="minor"/>
    </font>
    <font>
      <b/>
      <i/>
      <sz val="16"/>
      <color theme="5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rgb="FF5B9BD5"/>
      <name val="Calibri"/>
      <family val="2"/>
      <scheme val="minor"/>
    </font>
    <font>
      <b/>
      <i/>
      <sz val="10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A8D08D"/>
        <bgColor rgb="FFA8D08D"/>
      </patternFill>
    </fill>
    <fill>
      <patternFill patternType="solid">
        <fgColor rgb="FFFFF2CB"/>
        <bgColor rgb="FFFFF2CB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theme="0"/>
      </patternFill>
    </fill>
    <fill>
      <patternFill patternType="solid">
        <fgColor rgb="FF5B9BD5"/>
        <bgColor theme="0"/>
      </patternFill>
    </fill>
    <fill>
      <patternFill patternType="solid">
        <fgColor rgb="FF5B9BD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310">
    <xf numFmtId="0" fontId="0" fillId="0" borderId="0" xfId="0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20" fontId="9" fillId="0" borderId="0" xfId="0" applyNumberFormat="1" applyFont="1" applyAlignment="1">
      <alignment horizontal="left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20" fontId="11" fillId="0" borderId="0" xfId="0" applyNumberFormat="1" applyFont="1" applyAlignment="1">
      <alignment horizontal="left"/>
    </xf>
    <xf numFmtId="20" fontId="11" fillId="0" borderId="0" xfId="0" applyNumberFormat="1" applyFont="1" applyAlignment="1">
      <alignment horizontal="left" wrapText="1"/>
    </xf>
    <xf numFmtId="20" fontId="12" fillId="2" borderId="4" xfId="0" applyNumberFormat="1" applyFont="1" applyFill="1" applyBorder="1" applyAlignment="1">
      <alignment horizontal="center" vertical="center"/>
    </xf>
    <xf numFmtId="20" fontId="11" fillId="2" borderId="5" xfId="0" applyNumberFormat="1" applyFont="1" applyFill="1" applyBorder="1" applyAlignment="1">
      <alignment horizontal="center"/>
    </xf>
    <xf numFmtId="20" fontId="12" fillId="2" borderId="6" xfId="0" applyNumberFormat="1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 vertical="center" wrapText="1"/>
    </xf>
    <xf numFmtId="165" fontId="8" fillId="3" borderId="12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14" fillId="4" borderId="12" xfId="0" applyFont="1" applyFill="1" applyBorder="1" applyAlignment="1">
      <alignment horizontal="center" vertical="top" wrapText="1"/>
    </xf>
    <xf numFmtId="0" fontId="14" fillId="4" borderId="12" xfId="0" applyFont="1" applyFill="1" applyBorder="1" applyAlignment="1">
      <alignment horizontal="left" vertical="top" wrapText="1"/>
    </xf>
    <xf numFmtId="0" fontId="8" fillId="4" borderId="12" xfId="0" applyFont="1" applyFill="1" applyBorder="1" applyAlignment="1">
      <alignment horizontal="left"/>
    </xf>
    <xf numFmtId="0" fontId="8" fillId="4" borderId="12" xfId="0" applyFont="1" applyFill="1" applyBorder="1" applyAlignment="1">
      <alignment horizontal="center" vertical="center"/>
    </xf>
    <xf numFmtId="1" fontId="14" fillId="4" borderId="13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164" fontId="8" fillId="5" borderId="12" xfId="0" applyNumberFormat="1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top" wrapText="1"/>
    </xf>
    <xf numFmtId="0" fontId="14" fillId="5" borderId="12" xfId="0" applyFont="1" applyFill="1" applyBorder="1" applyAlignment="1">
      <alignment horizontal="left" vertical="top" wrapText="1"/>
    </xf>
    <xf numFmtId="0" fontId="8" fillId="5" borderId="12" xfId="0" applyFont="1" applyFill="1" applyBorder="1" applyAlignment="1">
      <alignment horizontal="left" vertical="center"/>
    </xf>
    <xf numFmtId="1" fontId="14" fillId="5" borderId="12" xfId="0" applyNumberFormat="1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left" vertical="center"/>
    </xf>
    <xf numFmtId="0" fontId="8" fillId="6" borderId="12" xfId="0" applyFont="1" applyFill="1" applyBorder="1" applyAlignment="1">
      <alignment horizontal="center" vertical="center"/>
    </xf>
    <xf numFmtId="164" fontId="8" fillId="6" borderId="12" xfId="0" applyNumberFormat="1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left"/>
    </xf>
    <xf numFmtId="1" fontId="14" fillId="5" borderId="13" xfId="0" applyNumberFormat="1" applyFont="1" applyFill="1" applyBorder="1" applyAlignment="1">
      <alignment horizontal="center" vertical="center" wrapText="1"/>
    </xf>
    <xf numFmtId="164" fontId="11" fillId="0" borderId="10" xfId="0" applyNumberFormat="1" applyFont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165" fontId="11" fillId="0" borderId="10" xfId="0" applyNumberFormat="1" applyFont="1" applyBorder="1" applyAlignment="1">
      <alignment horizontal="center" vertical="center"/>
    </xf>
    <xf numFmtId="165" fontId="11" fillId="0" borderId="7" xfId="0" applyNumberFormat="1" applyFont="1" applyBorder="1" applyAlignment="1">
      <alignment horizontal="center"/>
    </xf>
    <xf numFmtId="164" fontId="11" fillId="7" borderId="18" xfId="0" applyNumberFormat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165" fontId="11" fillId="7" borderId="12" xfId="0" applyNumberFormat="1" applyFont="1" applyFill="1" applyBorder="1" applyAlignment="1">
      <alignment horizontal="center" vertical="center"/>
    </xf>
    <xf numFmtId="165" fontId="12" fillId="8" borderId="23" xfId="0" applyNumberFormat="1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166" fontId="12" fillId="9" borderId="1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8" fillId="0" borderId="12" xfId="0" applyFont="1" applyBorder="1" applyAlignment="1">
      <alignment vertical="center"/>
    </xf>
    <xf numFmtId="0" fontId="8" fillId="5" borderId="12" xfId="0" applyFont="1" applyFill="1" applyBorder="1" applyAlignment="1">
      <alignment vertical="center"/>
    </xf>
    <xf numFmtId="0" fontId="8" fillId="6" borderId="12" xfId="0" applyFont="1" applyFill="1" applyBorder="1" applyAlignment="1">
      <alignment horizontal="center" vertical="top" wrapText="1"/>
    </xf>
    <xf numFmtId="0" fontId="8" fillId="6" borderId="12" xfId="0" applyFont="1" applyFill="1" applyBorder="1" applyAlignment="1">
      <alignment horizontal="left" vertical="top" wrapText="1"/>
    </xf>
    <xf numFmtId="0" fontId="8" fillId="6" borderId="12" xfId="0" applyFont="1" applyFill="1" applyBorder="1" applyAlignment="1">
      <alignment horizontal="left"/>
    </xf>
    <xf numFmtId="1" fontId="8" fillId="6" borderId="13" xfId="0" applyNumberFormat="1" applyFont="1" applyFill="1" applyBorder="1" applyAlignment="1">
      <alignment horizontal="center" vertical="center" wrapText="1"/>
    </xf>
    <xf numFmtId="1" fontId="8" fillId="6" borderId="1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14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0" fontId="15" fillId="0" borderId="25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166" fontId="0" fillId="0" borderId="25" xfId="0" applyNumberFormat="1" applyBorder="1" applyAlignment="1">
      <alignment horizontal="center" vertical="center"/>
    </xf>
    <xf numFmtId="9" fontId="0" fillId="0" borderId="25" xfId="1" applyFont="1" applyBorder="1" applyAlignment="1">
      <alignment horizontal="center" vertical="center"/>
    </xf>
    <xf numFmtId="0" fontId="17" fillId="0" borderId="0" xfId="0" applyFont="1"/>
    <xf numFmtId="0" fontId="0" fillId="0" borderId="25" xfId="0" applyBorder="1"/>
    <xf numFmtId="0" fontId="8" fillId="6" borderId="26" xfId="0" applyFont="1" applyFill="1" applyBorder="1" applyAlignment="1">
      <alignment horizontal="center" vertical="top" wrapText="1"/>
    </xf>
    <xf numFmtId="0" fontId="8" fillId="6" borderId="26" xfId="0" applyFont="1" applyFill="1" applyBorder="1" applyAlignment="1">
      <alignment horizontal="left" vertical="top" wrapText="1"/>
    </xf>
    <xf numFmtId="0" fontId="8" fillId="6" borderId="26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center" vertical="center"/>
    </xf>
    <xf numFmtId="1" fontId="8" fillId="6" borderId="26" xfId="0" applyNumberFormat="1" applyFont="1" applyFill="1" applyBorder="1" applyAlignment="1">
      <alignment horizontal="center" vertical="center" wrapText="1"/>
    </xf>
    <xf numFmtId="164" fontId="8" fillId="6" borderId="26" xfId="0" applyNumberFormat="1" applyFont="1" applyFill="1" applyBorder="1" applyAlignment="1">
      <alignment horizontal="center" vertical="center"/>
    </xf>
    <xf numFmtId="167" fontId="14" fillId="10" borderId="13" xfId="0" applyNumberFormat="1" applyFont="1" applyFill="1" applyBorder="1" applyAlignment="1">
      <alignment horizontal="center" vertical="center" wrapText="1"/>
    </xf>
    <xf numFmtId="0" fontId="14" fillId="11" borderId="12" xfId="0" applyFont="1" applyFill="1" applyBorder="1" applyAlignment="1">
      <alignment horizontal="center" vertical="top" wrapText="1"/>
    </xf>
    <xf numFmtId="0" fontId="14" fillId="11" borderId="12" xfId="0" applyFont="1" applyFill="1" applyBorder="1" applyAlignment="1">
      <alignment horizontal="left" vertical="top" wrapText="1"/>
    </xf>
    <xf numFmtId="0" fontId="8" fillId="11" borderId="12" xfId="0" applyFont="1" applyFill="1" applyBorder="1" applyAlignment="1">
      <alignment horizontal="left"/>
    </xf>
    <xf numFmtId="0" fontId="8" fillId="12" borderId="12" xfId="0" applyFont="1" applyFill="1" applyBorder="1" applyAlignment="1">
      <alignment vertical="center"/>
    </xf>
    <xf numFmtId="0" fontId="8" fillId="11" borderId="12" xfId="0" applyFont="1" applyFill="1" applyBorder="1" applyAlignment="1">
      <alignment horizontal="center" vertical="center"/>
    </xf>
    <xf numFmtId="0" fontId="8" fillId="12" borderId="12" xfId="0" applyFont="1" applyFill="1" applyBorder="1" applyAlignment="1">
      <alignment horizontal="left" vertical="center"/>
    </xf>
    <xf numFmtId="1" fontId="14" fillId="11" borderId="13" xfId="0" applyNumberFormat="1" applyFont="1" applyFill="1" applyBorder="1" applyAlignment="1">
      <alignment horizontal="center" vertical="center" wrapText="1"/>
    </xf>
    <xf numFmtId="164" fontId="8" fillId="11" borderId="12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20" fontId="21" fillId="13" borderId="0" xfId="0" applyNumberFormat="1" applyFont="1" applyFill="1" applyAlignment="1">
      <alignment horizontal="left"/>
    </xf>
    <xf numFmtId="0" fontId="0" fillId="13" borderId="0" xfId="0" applyFill="1"/>
    <xf numFmtId="0" fontId="0" fillId="0" borderId="0" xfId="0" applyAlignment="1">
      <alignment wrapText="1"/>
    </xf>
    <xf numFmtId="0" fontId="15" fillId="0" borderId="27" xfId="0" applyFont="1" applyBorder="1" applyAlignment="1">
      <alignment horizontal="center" vertical="center" wrapText="1"/>
    </xf>
    <xf numFmtId="0" fontId="19" fillId="14" borderId="27" xfId="0" applyFont="1" applyFill="1" applyBorder="1" applyAlignment="1">
      <alignment horizontal="center" vertical="center" wrapText="1"/>
    </xf>
    <xf numFmtId="0" fontId="23" fillId="16" borderId="31" xfId="0" applyFont="1" applyFill="1" applyBorder="1" applyAlignment="1">
      <alignment vertical="center"/>
    </xf>
    <xf numFmtId="0" fontId="23" fillId="16" borderId="31" xfId="0" applyFont="1" applyFill="1" applyBorder="1" applyAlignment="1">
      <alignment vertical="center" wrapText="1"/>
    </xf>
    <xf numFmtId="0" fontId="23" fillId="16" borderId="29" xfId="0" applyFont="1" applyFill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30" xfId="0" quotePrefix="1" applyBorder="1" applyAlignment="1">
      <alignment horizontal="left" vertical="center"/>
    </xf>
    <xf numFmtId="165" fontId="0" fillId="0" borderId="32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6" fontId="0" fillId="0" borderId="30" xfId="0" applyNumberFormat="1" applyBorder="1" applyAlignment="1">
      <alignment horizontal="center" vertical="center"/>
    </xf>
    <xf numFmtId="165" fontId="24" fillId="0" borderId="30" xfId="0" applyNumberFormat="1" applyFon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5" fontId="24" fillId="0" borderId="25" xfId="0" applyNumberFormat="1" applyFont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0" xfId="0" quotePrefix="1" applyBorder="1" applyAlignment="1">
      <alignment horizontal="left"/>
    </xf>
    <xf numFmtId="165" fontId="0" fillId="17" borderId="32" xfId="0" applyNumberFormat="1" applyFill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0" fontId="0" fillId="0" borderId="30" xfId="0" applyBorder="1"/>
    <xf numFmtId="0" fontId="0" fillId="0" borderId="25" xfId="0" quotePrefix="1" applyBorder="1" applyAlignment="1">
      <alignment horizontal="left" vertical="center" wrapText="1"/>
    </xf>
    <xf numFmtId="165" fontId="0" fillId="17" borderId="25" xfId="0" applyNumberFormat="1" applyFill="1" applyBorder="1" applyAlignment="1">
      <alignment horizontal="center" vertical="center"/>
    </xf>
    <xf numFmtId="165" fontId="0" fillId="18" borderId="30" xfId="0" applyNumberFormat="1" applyFill="1" applyBorder="1" applyAlignment="1">
      <alignment horizontal="center" vertical="center"/>
    </xf>
    <xf numFmtId="165" fontId="24" fillId="18" borderId="30" xfId="0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 wrapText="1"/>
    </xf>
    <xf numFmtId="0" fontId="0" fillId="13" borderId="0" xfId="0" quotePrefix="1" applyFill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0" fontId="23" fillId="16" borderId="28" xfId="0" applyFont="1" applyFill="1" applyBorder="1" applyAlignment="1">
      <alignment vertical="center"/>
    </xf>
    <xf numFmtId="0" fontId="0" fillId="0" borderId="30" xfId="0" quotePrefix="1" applyBorder="1" applyAlignment="1">
      <alignment horizontal="left" vertical="center" wrapText="1"/>
    </xf>
    <xf numFmtId="0" fontId="25" fillId="19" borderId="28" xfId="0" applyFont="1" applyFill="1" applyBorder="1" applyAlignment="1">
      <alignment horizontal="right" vertical="center"/>
    </xf>
    <xf numFmtId="165" fontId="19" fillId="19" borderId="27" xfId="0" applyNumberFormat="1" applyFont="1" applyFill="1" applyBorder="1" applyAlignment="1">
      <alignment horizontal="center" vertical="center"/>
    </xf>
    <xf numFmtId="165" fontId="23" fillId="16" borderId="29" xfId="0" applyNumberFormat="1" applyFont="1" applyFill="1" applyBorder="1" applyAlignment="1">
      <alignment vertical="center"/>
    </xf>
    <xf numFmtId="0" fontId="0" fillId="0" borderId="27" xfId="0" applyBorder="1"/>
    <xf numFmtId="0" fontId="0" fillId="0" borderId="27" xfId="0" quotePrefix="1" applyBorder="1" applyAlignment="1">
      <alignment horizontal="left" vertical="center" wrapText="1"/>
    </xf>
    <xf numFmtId="165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5" fontId="19" fillId="19" borderId="25" xfId="0" applyNumberFormat="1" applyFont="1" applyFill="1" applyBorder="1" applyAlignment="1">
      <alignment horizontal="center" vertical="center"/>
    </xf>
    <xf numFmtId="0" fontId="5" fillId="0" borderId="30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/>
    </xf>
    <xf numFmtId="20" fontId="27" fillId="0" borderId="0" xfId="0" applyNumberFormat="1" applyFont="1" applyAlignment="1">
      <alignment horizontal="left"/>
    </xf>
    <xf numFmtId="20" fontId="27" fillId="0" borderId="0" xfId="0" applyNumberFormat="1" applyFont="1" applyAlignment="1">
      <alignment horizontal="left" wrapText="1"/>
    </xf>
    <xf numFmtId="0" fontId="19" fillId="14" borderId="25" xfId="0" applyFont="1" applyFill="1" applyBorder="1" applyAlignment="1">
      <alignment horizontal="center" vertical="center"/>
    </xf>
    <xf numFmtId="165" fontId="28" fillId="0" borderId="25" xfId="0" applyNumberFormat="1" applyFont="1" applyBorder="1" applyAlignment="1">
      <alignment horizontal="center" vertical="center"/>
    </xf>
    <xf numFmtId="165" fontId="25" fillId="19" borderId="25" xfId="0" applyNumberFormat="1" applyFont="1" applyFill="1" applyBorder="1" applyAlignment="1">
      <alignment horizontal="center"/>
    </xf>
    <xf numFmtId="0" fontId="0" fillId="19" borderId="29" xfId="0" applyFill="1" applyBorder="1" applyAlignment="1">
      <alignment horizontal="center" vertical="center"/>
    </xf>
    <xf numFmtId="2" fontId="0" fillId="0" borderId="25" xfId="0" applyNumberFormat="1" applyBorder="1" applyAlignment="1">
      <alignment horizontal="left" vertical="center"/>
    </xf>
    <xf numFmtId="2" fontId="15" fillId="19" borderId="25" xfId="0" applyNumberFormat="1" applyFont="1" applyFill="1" applyBorder="1" applyAlignment="1">
      <alignment horizontal="center"/>
    </xf>
    <xf numFmtId="2" fontId="0" fillId="19" borderId="29" xfId="0" applyNumberFormat="1" applyFill="1" applyBorder="1" applyAlignment="1">
      <alignment horizontal="center" vertical="center"/>
    </xf>
    <xf numFmtId="0" fontId="0" fillId="19" borderId="25" xfId="0" applyFill="1" applyBorder="1"/>
    <xf numFmtId="165" fontId="25" fillId="14" borderId="25" xfId="0" applyNumberFormat="1" applyFont="1" applyFill="1" applyBorder="1" applyAlignment="1">
      <alignment horizontal="center"/>
    </xf>
    <xf numFmtId="0" fontId="5" fillId="0" borderId="25" xfId="0" applyFont="1" applyBorder="1" applyAlignment="1">
      <alignment horizontal="left" vertical="center" wrapText="1"/>
    </xf>
    <xf numFmtId="0" fontId="5" fillId="0" borderId="30" xfId="0" quotePrefix="1" applyFont="1" applyBorder="1" applyAlignment="1">
      <alignment horizontal="left"/>
    </xf>
    <xf numFmtId="0" fontId="5" fillId="0" borderId="25" xfId="0" quotePrefix="1" applyFont="1" applyBorder="1" applyAlignment="1">
      <alignment horizontal="left" vertical="center" wrapText="1"/>
    </xf>
    <xf numFmtId="0" fontId="0" fillId="19" borderId="9" xfId="0" applyFill="1" applyBorder="1"/>
    <xf numFmtId="165" fontId="25" fillId="19" borderId="25" xfId="0" applyNumberFormat="1" applyFont="1" applyFill="1" applyBorder="1" applyAlignment="1">
      <alignment horizontal="center" vertical="center"/>
    </xf>
    <xf numFmtId="165" fontId="25" fillId="14" borderId="2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/>
    <xf numFmtId="0" fontId="28" fillId="0" borderId="28" xfId="0" applyFont="1" applyBorder="1" applyAlignment="1">
      <alignment vertical="center"/>
    </xf>
    <xf numFmtId="0" fontId="0" fillId="0" borderId="25" xfId="0" applyBorder="1" applyAlignment="1">
      <alignment horizontal="left" vertical="center"/>
    </xf>
    <xf numFmtId="0" fontId="0" fillId="0" borderId="28" xfId="0" applyBorder="1" applyAlignment="1">
      <alignment vertical="center"/>
    </xf>
    <xf numFmtId="0" fontId="25" fillId="19" borderId="25" xfId="0" applyFont="1" applyFill="1" applyBorder="1" applyAlignment="1">
      <alignment horizontal="left" vertical="center"/>
    </xf>
    <xf numFmtId="166" fontId="25" fillId="19" borderId="25" xfId="0" applyNumberFormat="1" applyFont="1" applyFill="1" applyBorder="1" applyAlignment="1">
      <alignment horizontal="center" vertical="center"/>
    </xf>
    <xf numFmtId="0" fontId="25" fillId="14" borderId="28" xfId="0" applyFont="1" applyFill="1" applyBorder="1" applyAlignment="1">
      <alignment horizontal="right" vertical="center"/>
    </xf>
    <xf numFmtId="166" fontId="25" fillId="14" borderId="25" xfId="0" applyNumberFormat="1" applyFont="1" applyFill="1" applyBorder="1" applyAlignment="1">
      <alignment horizontal="center" vertical="center"/>
    </xf>
    <xf numFmtId="0" fontId="25" fillId="14" borderId="25" xfId="0" applyFont="1" applyFill="1" applyBorder="1" applyAlignment="1">
      <alignment horizontal="left" vertical="center"/>
    </xf>
    <xf numFmtId="0" fontId="5" fillId="0" borderId="25" xfId="0" applyFont="1" applyBorder="1"/>
    <xf numFmtId="0" fontId="5" fillId="0" borderId="28" xfId="0" applyFont="1" applyBorder="1"/>
    <xf numFmtId="166" fontId="0" fillId="17" borderId="25" xfId="0" applyNumberFormat="1" applyFill="1" applyBorder="1" applyAlignment="1">
      <alignment horizontal="center" vertical="center"/>
    </xf>
    <xf numFmtId="166" fontId="19" fillId="14" borderId="25" xfId="0" applyNumberFormat="1" applyFont="1" applyFill="1" applyBorder="1" applyAlignment="1">
      <alignment horizontal="center" vertical="center"/>
    </xf>
    <xf numFmtId="0" fontId="31" fillId="0" borderId="0" xfId="0" applyFont="1"/>
    <xf numFmtId="9" fontId="0" fillId="0" borderId="0" xfId="0" applyNumberFormat="1"/>
    <xf numFmtId="166" fontId="19" fillId="15" borderId="25" xfId="0" applyNumberFormat="1" applyFont="1" applyFill="1" applyBorder="1" applyAlignment="1">
      <alignment horizontal="center" vertical="center"/>
    </xf>
    <xf numFmtId="166" fontId="19" fillId="20" borderId="25" xfId="0" applyNumberFormat="1" applyFont="1" applyFill="1" applyBorder="1" applyAlignment="1">
      <alignment horizontal="center" vertical="center"/>
    </xf>
    <xf numFmtId="0" fontId="0" fillId="0" borderId="9" xfId="0" applyBorder="1"/>
    <xf numFmtId="166" fontId="0" fillId="0" borderId="9" xfId="0" applyNumberFormat="1" applyBorder="1" applyAlignment="1">
      <alignment horizontal="center" vertical="center"/>
    </xf>
    <xf numFmtId="9" fontId="0" fillId="0" borderId="9" xfId="1" applyFont="1" applyBorder="1" applyAlignment="1">
      <alignment horizontal="center" vertical="center"/>
    </xf>
    <xf numFmtId="166" fontId="19" fillId="0" borderId="9" xfId="0" applyNumberFormat="1" applyFont="1" applyBorder="1" applyAlignment="1">
      <alignment horizontal="center" vertical="center"/>
    </xf>
    <xf numFmtId="166" fontId="19" fillId="13" borderId="25" xfId="0" applyNumberFormat="1" applyFont="1" applyFill="1" applyBorder="1" applyAlignment="1">
      <alignment horizontal="center" vertical="center"/>
    </xf>
    <xf numFmtId="0" fontId="15" fillId="0" borderId="32" xfId="0" applyFont="1" applyBorder="1" applyAlignment="1">
      <alignment horizontal="center" vertical="center" wrapText="1"/>
    </xf>
    <xf numFmtId="0" fontId="27" fillId="0" borderId="0" xfId="0" applyFont="1"/>
    <xf numFmtId="0" fontId="3" fillId="0" borderId="25" xfId="0" applyFont="1" applyBorder="1"/>
    <xf numFmtId="0" fontId="3" fillId="0" borderId="0" xfId="0" applyFont="1"/>
    <xf numFmtId="0" fontId="3" fillId="0" borderId="2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166" fontId="0" fillId="0" borderId="0" xfId="0" applyNumberFormat="1"/>
    <xf numFmtId="168" fontId="19" fillId="13" borderId="25" xfId="0" applyNumberFormat="1" applyFont="1" applyFill="1" applyBorder="1" applyAlignment="1">
      <alignment horizontal="center" vertical="center"/>
    </xf>
    <xf numFmtId="0" fontId="19" fillId="14" borderId="33" xfId="0" applyFont="1" applyFill="1" applyBorder="1" applyAlignment="1">
      <alignment horizontal="center" vertical="center" wrapText="1"/>
    </xf>
    <xf numFmtId="0" fontId="19" fillId="14" borderId="30" xfId="0" applyFont="1" applyFill="1" applyBorder="1" applyAlignment="1">
      <alignment horizontal="center" vertical="center" wrapText="1"/>
    </xf>
    <xf numFmtId="168" fontId="24" fillId="0" borderId="25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9" fontId="0" fillId="0" borderId="27" xfId="1" applyFont="1" applyBorder="1" applyAlignment="1">
      <alignment horizontal="center" vertical="center"/>
    </xf>
    <xf numFmtId="166" fontId="19" fillId="21" borderId="27" xfId="0" applyNumberFormat="1" applyFont="1" applyFill="1" applyBorder="1" applyAlignment="1">
      <alignment horizontal="center" vertical="center"/>
    </xf>
    <xf numFmtId="166" fontId="19" fillId="21" borderId="25" xfId="0" applyNumberFormat="1" applyFont="1" applyFill="1" applyBorder="1" applyAlignment="1">
      <alignment horizontal="center" vertical="center"/>
    </xf>
    <xf numFmtId="166" fontId="0" fillId="22" borderId="25" xfId="0" applyNumberFormat="1" applyFill="1" applyBorder="1" applyAlignment="1">
      <alignment horizontal="center" vertical="center"/>
    </xf>
    <xf numFmtId="166" fontId="19" fillId="22" borderId="25" xfId="0" applyNumberFormat="1" applyFont="1" applyFill="1" applyBorder="1" applyAlignment="1">
      <alignment horizontal="center" vertical="center"/>
    </xf>
    <xf numFmtId="9" fontId="0" fillId="22" borderId="25" xfId="1" applyFont="1" applyFill="1" applyBorder="1" applyAlignment="1">
      <alignment horizontal="center" vertical="center"/>
    </xf>
    <xf numFmtId="166" fontId="36" fillId="22" borderId="25" xfId="0" applyNumberFormat="1" applyFont="1" applyFill="1" applyBorder="1" applyAlignment="1">
      <alignment horizontal="left" vertical="center"/>
    </xf>
    <xf numFmtId="166" fontId="0" fillId="17" borderId="27" xfId="0" applyNumberFormat="1" applyFill="1" applyBorder="1" applyAlignment="1">
      <alignment horizontal="center" vertical="center"/>
    </xf>
    <xf numFmtId="0" fontId="15" fillId="17" borderId="25" xfId="0" applyFont="1" applyFill="1" applyBorder="1" applyAlignment="1">
      <alignment horizontal="center" vertical="center" wrapText="1"/>
    </xf>
    <xf numFmtId="0" fontId="15" fillId="23" borderId="30" xfId="0" applyFont="1" applyFill="1" applyBorder="1" applyAlignment="1">
      <alignment horizontal="center" vertical="center" wrapText="1"/>
    </xf>
    <xf numFmtId="166" fontId="3" fillId="24" borderId="28" xfId="0" applyNumberFormat="1" applyFont="1" applyFill="1" applyBorder="1" applyAlignment="1">
      <alignment horizontal="center"/>
    </xf>
    <xf numFmtId="166" fontId="0" fillId="24" borderId="28" xfId="0" applyNumberFormat="1" applyFill="1" applyBorder="1" applyAlignment="1">
      <alignment horizontal="center"/>
    </xf>
    <xf numFmtId="0" fontId="19" fillId="13" borderId="28" xfId="0" applyFont="1" applyFill="1" applyBorder="1" applyAlignment="1">
      <alignment vertical="center"/>
    </xf>
    <xf numFmtId="0" fontId="19" fillId="13" borderId="31" xfId="0" applyFont="1" applyFill="1" applyBorder="1" applyAlignment="1">
      <alignment vertical="center"/>
    </xf>
    <xf numFmtId="0" fontId="19" fillId="13" borderId="29" xfId="0" applyFont="1" applyFill="1" applyBorder="1" applyAlignment="1">
      <alignment vertical="center"/>
    </xf>
    <xf numFmtId="166" fontId="0" fillId="24" borderId="27" xfId="0" applyNumberFormat="1" applyFill="1" applyBorder="1" applyAlignment="1">
      <alignment horizontal="center" vertical="center"/>
    </xf>
    <xf numFmtId="166" fontId="0" fillId="0" borderId="27" xfId="0" applyNumberFormat="1" applyBorder="1" applyAlignment="1">
      <alignment horizontal="center" vertical="center"/>
    </xf>
    <xf numFmtId="9" fontId="0" fillId="0" borderId="25" xfId="0" applyNumberForma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/>
    </xf>
    <xf numFmtId="167" fontId="4" fillId="0" borderId="33" xfId="0" applyNumberFormat="1" applyFont="1" applyBorder="1" applyAlignment="1">
      <alignment horizontal="center"/>
    </xf>
    <xf numFmtId="167" fontId="4" fillId="0" borderId="30" xfId="0" applyNumberFormat="1" applyFont="1" applyBorder="1" applyAlignment="1">
      <alignment horizontal="center"/>
    </xf>
    <xf numFmtId="9" fontId="0" fillId="0" borderId="0" xfId="0" applyNumberFormat="1" applyAlignment="1">
      <alignment horizontal="center" vertical="center"/>
    </xf>
    <xf numFmtId="2" fontId="24" fillId="0" borderId="25" xfId="0" applyNumberFormat="1" applyFont="1" applyBorder="1" applyAlignment="1">
      <alignment horizontal="center" vertical="center"/>
    </xf>
    <xf numFmtId="168" fontId="23" fillId="0" borderId="25" xfId="0" applyNumberFormat="1" applyFont="1" applyBorder="1" applyAlignment="1">
      <alignment horizontal="center" vertical="center"/>
    </xf>
    <xf numFmtId="2" fontId="23" fillId="0" borderId="25" xfId="0" applyNumberFormat="1" applyFont="1" applyBorder="1" applyAlignment="1">
      <alignment horizontal="center" vertical="center"/>
    </xf>
    <xf numFmtId="166" fontId="37" fillId="0" borderId="25" xfId="0" applyNumberFormat="1" applyFont="1" applyBorder="1" applyAlignment="1">
      <alignment horizontal="center" vertical="center"/>
    </xf>
    <xf numFmtId="168" fontId="37" fillId="0" borderId="25" xfId="0" applyNumberFormat="1" applyFont="1" applyBorder="1" applyAlignment="1">
      <alignment horizontal="center" vertical="center"/>
    </xf>
    <xf numFmtId="168" fontId="0" fillId="0" borderId="0" xfId="0" applyNumberFormat="1"/>
    <xf numFmtId="0" fontId="23" fillId="0" borderId="32" xfId="0" applyFont="1" applyBorder="1" applyAlignment="1">
      <alignment horizontal="center" vertical="center" wrapText="1"/>
    </xf>
    <xf numFmtId="9" fontId="0" fillId="0" borderId="27" xfId="0" applyNumberFormat="1" applyBorder="1" applyAlignment="1">
      <alignment horizontal="center" vertical="center"/>
    </xf>
    <xf numFmtId="166" fontId="0" fillId="24" borderId="25" xfId="0" applyNumberFormat="1" applyFill="1" applyBorder="1" applyAlignment="1">
      <alignment horizontal="center" vertical="center"/>
    </xf>
    <xf numFmtId="164" fontId="0" fillId="0" borderId="0" xfId="0" applyNumberFormat="1"/>
    <xf numFmtId="168" fontId="23" fillId="0" borderId="27" xfId="0" applyNumberFormat="1" applyFont="1" applyBorder="1" applyAlignment="1">
      <alignment horizontal="center" vertical="center"/>
    </xf>
    <xf numFmtId="168" fontId="24" fillId="0" borderId="27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 wrapText="1"/>
    </xf>
    <xf numFmtId="2" fontId="23" fillId="0" borderId="27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2" fontId="23" fillId="0" borderId="9" xfId="0" applyNumberFormat="1" applyFont="1" applyBorder="1" applyAlignment="1">
      <alignment horizontal="center" vertical="center"/>
    </xf>
    <xf numFmtId="168" fontId="23" fillId="0" borderId="9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166" fontId="24" fillId="0" borderId="9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19" fillId="12" borderId="27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5" fillId="23" borderId="25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9" fillId="21" borderId="27" xfId="0" applyFont="1" applyFill="1" applyBorder="1" applyAlignment="1">
      <alignment horizontal="center" vertical="center" wrapText="1"/>
    </xf>
    <xf numFmtId="0" fontId="19" fillId="21" borderId="33" xfId="0" applyFont="1" applyFill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19" fillId="14" borderId="25" xfId="0" applyFont="1" applyFill="1" applyBorder="1" applyAlignment="1">
      <alignment horizontal="center" vertical="center" wrapText="1"/>
    </xf>
    <xf numFmtId="0" fontId="19" fillId="12" borderId="25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10" xfId="0" applyFont="1" applyBorder="1"/>
    <xf numFmtId="0" fontId="12" fillId="8" borderId="20" xfId="0" applyFont="1" applyFill="1" applyBorder="1" applyAlignment="1">
      <alignment horizontal="right" vertical="center"/>
    </xf>
    <xf numFmtId="0" fontId="13" fillId="0" borderId="21" xfId="0" applyFont="1" applyBorder="1"/>
    <xf numFmtId="0" fontId="13" fillId="0" borderId="22" xfId="0" applyFont="1" applyBorder="1"/>
    <xf numFmtId="0" fontId="12" fillId="9" borderId="1" xfId="0" applyFont="1" applyFill="1" applyBorder="1" applyAlignment="1">
      <alignment horizontal="right" vertical="center"/>
    </xf>
    <xf numFmtId="0" fontId="13" fillId="0" borderId="2" xfId="0" applyFont="1" applyBorder="1"/>
    <xf numFmtId="0" fontId="13" fillId="0" borderId="15" xfId="0" applyFont="1" applyBorder="1"/>
    <xf numFmtId="0" fontId="11" fillId="0" borderId="8" xfId="0" applyFont="1" applyBorder="1" applyAlignment="1">
      <alignment horizontal="center" vertical="center" wrapText="1"/>
    </xf>
    <xf numFmtId="0" fontId="13" fillId="0" borderId="11" xfId="0" applyFont="1" applyBorder="1"/>
    <xf numFmtId="0" fontId="11" fillId="0" borderId="11" xfId="0" applyFont="1" applyBorder="1" applyAlignment="1">
      <alignment horizontal="right" vertical="center"/>
    </xf>
    <xf numFmtId="0" fontId="13" fillId="0" borderId="14" xfId="0" applyFont="1" applyBorder="1"/>
    <xf numFmtId="0" fontId="11" fillId="0" borderId="1" xfId="0" applyFont="1" applyBorder="1" applyAlignment="1">
      <alignment horizontal="right" vertical="center"/>
    </xf>
    <xf numFmtId="0" fontId="11" fillId="7" borderId="16" xfId="0" applyFont="1" applyFill="1" applyBorder="1" applyAlignment="1">
      <alignment horizontal="right" vertical="center"/>
    </xf>
    <xf numFmtId="0" fontId="13" fillId="0" borderId="17" xfId="0" applyFont="1" applyBorder="1"/>
    <xf numFmtId="20" fontId="12" fillId="2" borderId="1" xfId="0" applyNumberFormat="1" applyFont="1" applyFill="1" applyBorder="1" applyAlignment="1">
      <alignment horizontal="center" vertical="center"/>
    </xf>
    <xf numFmtId="0" fontId="13" fillId="0" borderId="3" xfId="0" applyFont="1" applyBorder="1"/>
    <xf numFmtId="0" fontId="19" fillId="14" borderId="27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25" fillId="19" borderId="28" xfId="0" applyFont="1" applyFill="1" applyBorder="1" applyAlignment="1">
      <alignment horizontal="right" vertical="center"/>
    </xf>
    <xf numFmtId="0" fontId="25" fillId="19" borderId="31" xfId="0" applyFont="1" applyFill="1" applyBorder="1" applyAlignment="1">
      <alignment horizontal="right" vertical="center"/>
    </xf>
    <xf numFmtId="0" fontId="25" fillId="19" borderId="29" xfId="0" applyFont="1" applyFill="1" applyBorder="1" applyAlignment="1">
      <alignment horizontal="right" vertical="center"/>
    </xf>
    <xf numFmtId="165" fontId="0" fillId="0" borderId="0" xfId="0" applyNumberFormat="1" applyAlignment="1">
      <alignment horizontal="center" vertical="center"/>
    </xf>
    <xf numFmtId="0" fontId="23" fillId="16" borderId="28" xfId="0" applyFont="1" applyFill="1" applyBorder="1" applyAlignment="1">
      <alignment horizontal="left" vertical="center"/>
    </xf>
    <xf numFmtId="0" fontId="23" fillId="16" borderId="31" xfId="0" applyFont="1" applyFill="1" applyBorder="1" applyAlignment="1">
      <alignment horizontal="left" vertical="center"/>
    </xf>
    <xf numFmtId="0" fontId="23" fillId="16" borderId="29" xfId="0" applyFont="1" applyFill="1" applyBorder="1" applyAlignment="1">
      <alignment horizontal="left" vertical="center"/>
    </xf>
    <xf numFmtId="0" fontId="25" fillId="14" borderId="25" xfId="0" applyFont="1" applyFill="1" applyBorder="1" applyAlignment="1">
      <alignment horizontal="right" vertical="center"/>
    </xf>
    <xf numFmtId="0" fontId="15" fillId="0" borderId="27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9" fillId="13" borderId="27" xfId="0" applyFont="1" applyFill="1" applyBorder="1" applyAlignment="1">
      <alignment horizontal="center" vertical="center" wrapText="1"/>
    </xf>
    <xf numFmtId="0" fontId="19" fillId="13" borderId="33" xfId="0" applyFont="1" applyFill="1" applyBorder="1" applyAlignment="1">
      <alignment horizontal="center" vertical="center" wrapText="1"/>
    </xf>
    <xf numFmtId="0" fontId="19" fillId="13" borderId="30" xfId="0" applyFont="1" applyFill="1" applyBorder="1" applyAlignment="1">
      <alignment horizontal="center" vertical="center" wrapText="1"/>
    </xf>
    <xf numFmtId="0" fontId="19" fillId="14" borderId="33" xfId="0" applyFont="1" applyFill="1" applyBorder="1" applyAlignment="1">
      <alignment horizontal="center" vertical="center" wrapText="1"/>
    </xf>
    <xf numFmtId="0" fontId="19" fillId="14" borderId="30" xfId="0" applyFont="1" applyFill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5" fillId="17" borderId="27" xfId="0" applyFont="1" applyFill="1" applyBorder="1" applyAlignment="1">
      <alignment horizontal="center" vertical="center" wrapText="1"/>
    </xf>
    <xf numFmtId="0" fontId="15" fillId="17" borderId="33" xfId="0" applyFont="1" applyFill="1" applyBorder="1" applyAlignment="1">
      <alignment horizontal="center" vertical="center" wrapText="1"/>
    </xf>
    <xf numFmtId="0" fontId="15" fillId="17" borderId="30" xfId="0" applyFont="1" applyFill="1" applyBorder="1" applyAlignment="1">
      <alignment horizontal="center" vertical="center" wrapText="1"/>
    </xf>
    <xf numFmtId="0" fontId="19" fillId="14" borderId="28" xfId="0" applyFont="1" applyFill="1" applyBorder="1" applyAlignment="1">
      <alignment horizontal="center" vertical="center"/>
    </xf>
    <xf numFmtId="0" fontId="19" fillId="14" borderId="31" xfId="0" applyFont="1" applyFill="1" applyBorder="1" applyAlignment="1">
      <alignment horizontal="center" vertical="center"/>
    </xf>
    <xf numFmtId="0" fontId="19" fillId="14" borderId="29" xfId="0" applyFont="1" applyFill="1" applyBorder="1" applyAlignment="1">
      <alignment horizontal="center" vertical="center"/>
    </xf>
    <xf numFmtId="0" fontId="19" fillId="20" borderId="28" xfId="0" applyFont="1" applyFill="1" applyBorder="1" applyAlignment="1">
      <alignment horizontal="center" vertical="center"/>
    </xf>
    <xf numFmtId="0" fontId="19" fillId="20" borderId="31" xfId="0" applyFont="1" applyFill="1" applyBorder="1" applyAlignment="1">
      <alignment horizontal="center" vertical="center"/>
    </xf>
    <xf numFmtId="0" fontId="19" fillId="20" borderId="29" xfId="0" applyFont="1" applyFill="1" applyBorder="1" applyAlignment="1">
      <alignment horizontal="center" vertical="center"/>
    </xf>
    <xf numFmtId="0" fontId="19" fillId="15" borderId="28" xfId="0" applyFont="1" applyFill="1" applyBorder="1" applyAlignment="1">
      <alignment horizontal="center" vertical="center"/>
    </xf>
    <xf numFmtId="0" fontId="19" fillId="15" borderId="31" xfId="0" applyFont="1" applyFill="1" applyBorder="1" applyAlignment="1">
      <alignment horizontal="center" vertical="center"/>
    </xf>
    <xf numFmtId="0" fontId="19" fillId="15" borderId="29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19" fillId="20" borderId="27" xfId="0" applyFont="1" applyFill="1" applyBorder="1" applyAlignment="1">
      <alignment horizontal="center" vertical="center" wrapText="1"/>
    </xf>
    <xf numFmtId="0" fontId="19" fillId="20" borderId="33" xfId="0" applyFont="1" applyFill="1" applyBorder="1" applyAlignment="1">
      <alignment horizontal="center" vertical="center" wrapText="1"/>
    </xf>
    <xf numFmtId="0" fontId="19" fillId="20" borderId="30" xfId="0" applyFont="1" applyFill="1" applyBorder="1" applyAlignment="1">
      <alignment horizontal="center" vertical="center" wrapText="1"/>
    </xf>
    <xf numFmtId="0" fontId="19" fillId="21" borderId="30" xfId="0" applyFont="1" applyFill="1" applyBorder="1" applyAlignment="1">
      <alignment horizontal="center" vertical="center" wrapText="1"/>
    </xf>
    <xf numFmtId="0" fontId="19" fillId="15" borderId="27" xfId="0" applyFont="1" applyFill="1" applyBorder="1" applyAlignment="1">
      <alignment horizontal="center" vertical="center" wrapText="1"/>
    </xf>
    <xf numFmtId="0" fontId="19" fillId="15" borderId="33" xfId="0" applyFont="1" applyFill="1" applyBorder="1" applyAlignment="1">
      <alignment horizontal="center" vertical="center" wrapText="1"/>
    </xf>
    <xf numFmtId="0" fontId="19" fillId="15" borderId="30" xfId="0" applyFont="1" applyFill="1" applyBorder="1" applyAlignment="1">
      <alignment horizontal="center" vertical="center" wrapText="1"/>
    </xf>
    <xf numFmtId="9" fontId="0" fillId="0" borderId="25" xfId="0" applyNumberFormat="1" applyBorder="1" applyAlignment="1">
      <alignment horizontal="center"/>
    </xf>
    <xf numFmtId="0" fontId="15" fillId="17" borderId="34" xfId="0" applyFont="1" applyFill="1" applyBorder="1" applyAlignment="1">
      <alignment horizontal="center" vertical="center" wrapText="1"/>
    </xf>
    <xf numFmtId="0" fontId="15" fillId="17" borderId="35" xfId="0" applyFont="1" applyFill="1" applyBorder="1" applyAlignment="1">
      <alignment horizontal="center" vertical="center" wrapText="1"/>
    </xf>
    <xf numFmtId="0" fontId="15" fillId="17" borderId="38" xfId="0" applyFont="1" applyFill="1" applyBorder="1" applyAlignment="1">
      <alignment horizontal="center" vertical="center" wrapText="1"/>
    </xf>
    <xf numFmtId="0" fontId="15" fillId="17" borderId="32" xfId="0" applyFont="1" applyFill="1" applyBorder="1" applyAlignment="1">
      <alignment horizontal="center" vertical="center" wrapText="1"/>
    </xf>
    <xf numFmtId="0" fontId="19" fillId="13" borderId="36" xfId="0" applyFont="1" applyFill="1" applyBorder="1" applyAlignment="1">
      <alignment horizontal="center" vertical="center"/>
    </xf>
    <xf numFmtId="0" fontId="19" fillId="13" borderId="9" xfId="0" applyFont="1" applyFill="1" applyBorder="1" applyAlignment="1">
      <alignment horizontal="center" vertical="center"/>
    </xf>
    <xf numFmtId="0" fontId="19" fillId="13" borderId="37" xfId="0" applyFont="1" applyFill="1" applyBorder="1" applyAlignment="1">
      <alignment horizontal="center" vertical="center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23" fillId="0" borderId="27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166" fontId="1" fillId="0" borderId="25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13</xdr:row>
      <xdr:rowOff>64293</xdr:rowOff>
    </xdr:to>
    <xdr:sp macro="" textlink="">
      <xdr:nvSpPr>
        <xdr:cNvPr id="18" name="AutoShape 3">
          <a:extLst>
            <a:ext uri="{FF2B5EF4-FFF2-40B4-BE49-F238E27FC236}">
              <a16:creationId xmlns:a16="http://schemas.microsoft.com/office/drawing/2014/main" id="{44DD259D-D22C-4F3D-B67C-B4748FCFE882}"/>
            </a:ext>
          </a:extLst>
        </xdr:cNvPr>
        <xdr:cNvSpPr>
          <a:spLocks noChangeAspect="1" noChangeArrowheads="1"/>
        </xdr:cNvSpPr>
      </xdr:nvSpPr>
      <xdr:spPr bwMode="auto">
        <a:xfrm>
          <a:off x="4448175" y="1524000"/>
          <a:ext cx="304800" cy="1874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21</xdr:row>
      <xdr:rowOff>0</xdr:rowOff>
    </xdr:from>
    <xdr:ext cx="304800" cy="1871662"/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F7F65A9C-5EB3-445D-95D7-ECF888EA96D1}"/>
            </a:ext>
          </a:extLst>
        </xdr:cNvPr>
        <xdr:cNvSpPr>
          <a:spLocks noChangeAspect="1" noChangeArrowheads="1"/>
        </xdr:cNvSpPr>
      </xdr:nvSpPr>
      <xdr:spPr bwMode="auto">
        <a:xfrm>
          <a:off x="4448175" y="6838950"/>
          <a:ext cx="304800" cy="187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638970</xdr:colOff>
      <xdr:row>13</xdr:row>
      <xdr:rowOff>17991</xdr:rowOff>
    </xdr:from>
    <xdr:ext cx="408908" cy="534459"/>
    <xdr:pic>
      <xdr:nvPicPr>
        <xdr:cNvPr id="22" name="Picture 21">
          <a:extLst>
            <a:ext uri="{FF2B5EF4-FFF2-40B4-BE49-F238E27FC236}">
              <a16:creationId xmlns:a16="http://schemas.microsoft.com/office/drawing/2014/main" id="{F2B15ECB-CF65-41F4-AF79-261F519973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91" t="35457" r="35921" b="32399"/>
        <a:stretch/>
      </xdr:blipFill>
      <xdr:spPr>
        <a:xfrm rot="16200000">
          <a:off x="576194" y="3128767"/>
          <a:ext cx="534459" cy="40890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304800" cy="709611"/>
    <xdr:sp macro="" textlink="">
      <xdr:nvSpPr>
        <xdr:cNvPr id="24" name="AutoShape 4">
          <a:extLst>
            <a:ext uri="{FF2B5EF4-FFF2-40B4-BE49-F238E27FC236}">
              <a16:creationId xmlns:a16="http://schemas.microsoft.com/office/drawing/2014/main" id="{364F8744-0171-4E8F-9F82-56FFF3CE9B0E}"/>
            </a:ext>
          </a:extLst>
        </xdr:cNvPr>
        <xdr:cNvSpPr>
          <a:spLocks noChangeAspect="1" noChangeArrowheads="1"/>
        </xdr:cNvSpPr>
      </xdr:nvSpPr>
      <xdr:spPr bwMode="auto">
        <a:xfrm>
          <a:off x="0" y="3657600"/>
          <a:ext cx="304800" cy="709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304800" cy="709611"/>
    <xdr:sp macro="" textlink="">
      <xdr:nvSpPr>
        <xdr:cNvPr id="25" name="AutoShape 4">
          <a:extLst>
            <a:ext uri="{FF2B5EF4-FFF2-40B4-BE49-F238E27FC236}">
              <a16:creationId xmlns:a16="http://schemas.microsoft.com/office/drawing/2014/main" id="{44DEF2FF-DA97-410E-98F2-CD3BEEC13D58}"/>
            </a:ext>
          </a:extLst>
        </xdr:cNvPr>
        <xdr:cNvSpPr>
          <a:spLocks noChangeAspect="1" noChangeArrowheads="1"/>
        </xdr:cNvSpPr>
      </xdr:nvSpPr>
      <xdr:spPr bwMode="auto">
        <a:xfrm>
          <a:off x="0" y="3657600"/>
          <a:ext cx="304800" cy="709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616479</xdr:colOff>
      <xdr:row>14</xdr:row>
      <xdr:rowOff>49743</xdr:rowOff>
    </xdr:from>
    <xdr:ext cx="476250" cy="515327"/>
    <xdr:pic>
      <xdr:nvPicPr>
        <xdr:cNvPr id="26" name="Picture 25">
          <a:extLst>
            <a:ext uri="{FF2B5EF4-FFF2-40B4-BE49-F238E27FC236}">
              <a16:creationId xmlns:a16="http://schemas.microsoft.com/office/drawing/2014/main" id="{3F456B04-49DA-48AC-90B7-1F2A15D72F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39" t="45812" r="27229" b="26814"/>
        <a:stretch/>
      </xdr:blipFill>
      <xdr:spPr>
        <a:xfrm>
          <a:off x="616479" y="4297893"/>
          <a:ext cx="476250" cy="515327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304800" cy="709611"/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F1F1C9F2-1955-480D-93A7-74444C2A0A91}"/>
            </a:ext>
          </a:extLst>
        </xdr:cNvPr>
        <xdr:cNvSpPr>
          <a:spLocks noChangeAspect="1" noChangeArrowheads="1"/>
        </xdr:cNvSpPr>
      </xdr:nvSpPr>
      <xdr:spPr bwMode="auto">
        <a:xfrm>
          <a:off x="4448175" y="8972550"/>
          <a:ext cx="304800" cy="709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304800" cy="709611"/>
    <xdr:sp macro="" textlink="">
      <xdr:nvSpPr>
        <xdr:cNvPr id="29" name="AutoShape 4">
          <a:extLst>
            <a:ext uri="{FF2B5EF4-FFF2-40B4-BE49-F238E27FC236}">
              <a16:creationId xmlns:a16="http://schemas.microsoft.com/office/drawing/2014/main" id="{17388DCF-9D0D-445C-BA45-2CE48670B505}"/>
            </a:ext>
          </a:extLst>
        </xdr:cNvPr>
        <xdr:cNvSpPr>
          <a:spLocks noChangeAspect="1" noChangeArrowheads="1"/>
        </xdr:cNvSpPr>
      </xdr:nvSpPr>
      <xdr:spPr bwMode="auto">
        <a:xfrm>
          <a:off x="0" y="8972550"/>
          <a:ext cx="304800" cy="709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29</xdr:row>
      <xdr:rowOff>0</xdr:rowOff>
    </xdr:from>
    <xdr:ext cx="304800" cy="709611"/>
    <xdr:sp macro="" textlink="">
      <xdr:nvSpPr>
        <xdr:cNvPr id="30" name="AutoShape 4">
          <a:extLst>
            <a:ext uri="{FF2B5EF4-FFF2-40B4-BE49-F238E27FC236}">
              <a16:creationId xmlns:a16="http://schemas.microsoft.com/office/drawing/2014/main" id="{24BEF525-2151-4850-A0B8-AA9614D12307}"/>
            </a:ext>
          </a:extLst>
        </xdr:cNvPr>
        <xdr:cNvSpPr>
          <a:spLocks noChangeAspect="1" noChangeArrowheads="1"/>
        </xdr:cNvSpPr>
      </xdr:nvSpPr>
      <xdr:spPr bwMode="auto">
        <a:xfrm>
          <a:off x="0" y="8972550"/>
          <a:ext cx="304800" cy="709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603515</xdr:colOff>
      <xdr:row>29</xdr:row>
      <xdr:rowOff>19050</xdr:rowOff>
    </xdr:from>
    <xdr:ext cx="408908" cy="534459"/>
    <xdr:pic>
      <xdr:nvPicPr>
        <xdr:cNvPr id="34" name="Picture 33">
          <a:extLst>
            <a:ext uri="{FF2B5EF4-FFF2-40B4-BE49-F238E27FC236}">
              <a16:creationId xmlns:a16="http://schemas.microsoft.com/office/drawing/2014/main" id="{422149E2-F9FC-41B2-AF56-51BC248F43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91" t="35457" r="35921" b="32399"/>
        <a:stretch/>
      </xdr:blipFill>
      <xdr:spPr>
        <a:xfrm rot="16200000">
          <a:off x="540739" y="7749451"/>
          <a:ext cx="534459" cy="408908"/>
        </a:xfrm>
        <a:prstGeom prst="rect">
          <a:avLst/>
        </a:prstGeom>
      </xdr:spPr>
    </xdr:pic>
    <xdr:clientData/>
  </xdr:oneCellAnchor>
  <xdr:oneCellAnchor>
    <xdr:from>
      <xdr:col>0</xdr:col>
      <xdr:colOff>581024</xdr:colOff>
      <xdr:row>30</xdr:row>
      <xdr:rowOff>41277</xdr:rowOff>
    </xdr:from>
    <xdr:ext cx="476250" cy="515327"/>
    <xdr:pic>
      <xdr:nvPicPr>
        <xdr:cNvPr id="35" name="Picture 34">
          <a:extLst>
            <a:ext uri="{FF2B5EF4-FFF2-40B4-BE49-F238E27FC236}">
              <a16:creationId xmlns:a16="http://schemas.microsoft.com/office/drawing/2014/main" id="{0E8547D9-F19F-489C-9F9A-235E5DB3B4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39" t="45812" r="27229" b="26814"/>
        <a:stretch/>
      </xdr:blipFill>
      <xdr:spPr>
        <a:xfrm>
          <a:off x="581024" y="8280402"/>
          <a:ext cx="476250" cy="515327"/>
        </a:xfrm>
        <a:prstGeom prst="rect">
          <a:avLst/>
        </a:prstGeom>
      </xdr:spPr>
    </xdr:pic>
    <xdr:clientData/>
  </xdr:oneCellAnchor>
  <xdr:twoCellAnchor editAs="oneCell">
    <xdr:from>
      <xdr:col>0</xdr:col>
      <xdr:colOff>47625</xdr:colOff>
      <xdr:row>6</xdr:row>
      <xdr:rowOff>171450</xdr:rowOff>
    </xdr:from>
    <xdr:to>
      <xdr:col>0</xdr:col>
      <xdr:colOff>1533455</xdr:colOff>
      <xdr:row>6</xdr:row>
      <xdr:rowOff>491763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F431072-821E-8F38-7DC1-4BCB16B8E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53810" b="24667"/>
        <a:stretch>
          <a:fillRect/>
        </a:stretch>
      </xdr:blipFill>
      <xdr:spPr>
        <a:xfrm>
          <a:off x="47625" y="1695450"/>
          <a:ext cx="1485830" cy="320313"/>
        </a:xfrm>
        <a:prstGeom prst="rect">
          <a:avLst/>
        </a:prstGeom>
      </xdr:spPr>
    </xdr:pic>
    <xdr:clientData/>
  </xdr:twoCellAnchor>
  <xdr:oneCellAnchor>
    <xdr:from>
      <xdr:col>0</xdr:col>
      <xdr:colOff>28575</xdr:colOff>
      <xdr:row>22</xdr:row>
      <xdr:rowOff>85725</xdr:rowOff>
    </xdr:from>
    <xdr:ext cx="1485830" cy="320313"/>
    <xdr:pic>
      <xdr:nvPicPr>
        <xdr:cNvPr id="38" name="Picture 37">
          <a:extLst>
            <a:ext uri="{FF2B5EF4-FFF2-40B4-BE49-F238E27FC236}">
              <a16:creationId xmlns:a16="http://schemas.microsoft.com/office/drawing/2014/main" id="{3F168ABF-84E5-482F-A82C-CF658C3E5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53810" b="24667"/>
        <a:stretch>
          <a:fillRect/>
        </a:stretch>
      </xdr:blipFill>
      <xdr:spPr>
        <a:xfrm>
          <a:off x="28575" y="6896100"/>
          <a:ext cx="1485830" cy="320313"/>
        </a:xfrm>
        <a:prstGeom prst="rect">
          <a:avLst/>
        </a:prstGeom>
      </xdr:spPr>
    </xdr:pic>
    <xdr:clientData/>
  </xdr:oneCellAnchor>
  <xdr:twoCellAnchor editAs="oneCell">
    <xdr:from>
      <xdr:col>11</xdr:col>
      <xdr:colOff>0</xdr:colOff>
      <xdr:row>42</xdr:row>
      <xdr:rowOff>0</xdr:rowOff>
    </xdr:from>
    <xdr:to>
      <xdr:col>11</xdr:col>
      <xdr:colOff>304800</xdr:colOff>
      <xdr:row>43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475E145-5823-7F95-B47F-2ACD18ADF0B1}"/>
            </a:ext>
          </a:extLst>
        </xdr:cNvPr>
        <xdr:cNvSpPr>
          <a:spLocks noChangeAspect="1" noChangeArrowheads="1"/>
        </xdr:cNvSpPr>
      </xdr:nvSpPr>
      <xdr:spPr bwMode="auto">
        <a:xfrm>
          <a:off x="13239750" y="117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247650</xdr:colOff>
      <xdr:row>33</xdr:row>
      <xdr:rowOff>85724</xdr:rowOff>
    </xdr:from>
    <xdr:to>
      <xdr:col>11</xdr:col>
      <xdr:colOff>1885950</xdr:colOff>
      <xdr:row>52</xdr:row>
      <xdr:rowOff>137542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9FCCE2-1FAA-1132-5AF8-4E2CA8189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0" y="10039349"/>
          <a:ext cx="3695700" cy="37189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200027</xdr:colOff>
      <xdr:row>5</xdr:row>
      <xdr:rowOff>19051</xdr:rowOff>
    </xdr:from>
    <xdr:to>
      <xdr:col>23</xdr:col>
      <xdr:colOff>1063671</xdr:colOff>
      <xdr:row>17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9408A5-529F-0C49-11D6-1B8217DDD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3002" y="1581151"/>
          <a:ext cx="863644" cy="2533650"/>
        </a:xfrm>
        <a:prstGeom prst="rect">
          <a:avLst/>
        </a:prstGeom>
      </xdr:spPr>
    </xdr:pic>
    <xdr:clientData/>
  </xdr:twoCellAnchor>
  <xdr:twoCellAnchor editAs="oneCell">
    <xdr:from>
      <xdr:col>24</xdr:col>
      <xdr:colOff>190499</xdr:colOff>
      <xdr:row>33</xdr:row>
      <xdr:rowOff>57149</xdr:rowOff>
    </xdr:from>
    <xdr:to>
      <xdr:col>26</xdr:col>
      <xdr:colOff>75220</xdr:colOff>
      <xdr:row>46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4B994C-58D7-4038-3C03-608E98934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402799" y="7639049"/>
          <a:ext cx="1103921" cy="2895601"/>
        </a:xfrm>
        <a:prstGeom prst="rect">
          <a:avLst/>
        </a:prstGeom>
      </xdr:spPr>
    </xdr:pic>
    <xdr:clientData/>
  </xdr:twoCellAnchor>
  <xdr:twoCellAnchor editAs="oneCell">
    <xdr:from>
      <xdr:col>23</xdr:col>
      <xdr:colOff>133350</xdr:colOff>
      <xdr:row>19</xdr:row>
      <xdr:rowOff>66674</xdr:rowOff>
    </xdr:from>
    <xdr:to>
      <xdr:col>23</xdr:col>
      <xdr:colOff>1276350</xdr:colOff>
      <xdr:row>32</xdr:row>
      <xdr:rowOff>68916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BFDED9-B161-4011-F5F9-2F1E6E82F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16325" y="4448174"/>
          <a:ext cx="1143000" cy="29359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200026</xdr:colOff>
      <xdr:row>2</xdr:row>
      <xdr:rowOff>38099</xdr:rowOff>
    </xdr:from>
    <xdr:to>
      <xdr:col>1</xdr:col>
      <xdr:colOff>895350</xdr:colOff>
      <xdr:row>2</xdr:row>
      <xdr:rowOff>2077954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3D7F34-BC8D-4488-8920-C12ADCFC5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6" y="657224"/>
          <a:ext cx="695324" cy="20398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107156</xdr:colOff>
      <xdr:row>2</xdr:row>
      <xdr:rowOff>33337</xdr:rowOff>
    </xdr:from>
    <xdr:to>
      <xdr:col>3</xdr:col>
      <xdr:colOff>869156</xdr:colOff>
      <xdr:row>2</xdr:row>
      <xdr:rowOff>2032074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98B7F8-7B85-4AC4-BB71-BF282D7E4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1812" y="461962"/>
          <a:ext cx="762000" cy="199873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2</xdr:row>
      <xdr:rowOff>57149</xdr:rowOff>
    </xdr:from>
    <xdr:to>
      <xdr:col>1</xdr:col>
      <xdr:colOff>872919</xdr:colOff>
      <xdr:row>2</xdr:row>
      <xdr:rowOff>2085974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820F28-91D6-4FB5-9E88-5F51A6C98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59906" y="485774"/>
          <a:ext cx="777669" cy="2028825"/>
        </a:xfrm>
        <a:prstGeom prst="rect">
          <a:avLst/>
        </a:prstGeom>
      </xdr:spPr>
    </xdr:pic>
    <xdr:clientData/>
  </xdr:twoCellAnchor>
  <xdr:twoCellAnchor editAs="oneCell">
    <xdr:from>
      <xdr:col>2</xdr:col>
      <xdr:colOff>92870</xdr:colOff>
      <xdr:row>2</xdr:row>
      <xdr:rowOff>21432</xdr:rowOff>
    </xdr:from>
    <xdr:to>
      <xdr:col>2</xdr:col>
      <xdr:colOff>845344</xdr:colOff>
      <xdr:row>2</xdr:row>
      <xdr:rowOff>2037233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01E768-3512-485F-B14B-9407B554D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50495" y="450057"/>
          <a:ext cx="752474" cy="2015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989"/>
  <sheetViews>
    <sheetView topLeftCell="D1" zoomScale="80" zoomScaleNormal="80" workbookViewId="0">
      <selection activeCell="E10" sqref="E10:F11"/>
    </sheetView>
  </sheetViews>
  <sheetFormatPr defaultColWidth="14.42578125" defaultRowHeight="15" customHeight="1" x14ac:dyDescent="0.25"/>
  <cols>
    <col min="1" max="1" width="20.85546875" customWidth="1"/>
    <col min="2" max="2" width="26.28515625" customWidth="1"/>
    <col min="3" max="3" width="29.140625" customWidth="1"/>
    <col min="4" max="4" width="30.28515625" customWidth="1"/>
    <col min="5" max="5" width="33.140625" customWidth="1"/>
    <col min="6" max="6" width="16.42578125" customWidth="1"/>
    <col min="7" max="7" width="34.5703125" customWidth="1"/>
    <col min="8" max="8" width="16" customWidth="1"/>
    <col min="9" max="11" width="16.85546875" customWidth="1"/>
    <col min="12" max="12" width="0.42578125" customWidth="1"/>
    <col min="13" max="14" width="17" hidden="1" customWidth="1"/>
    <col min="15" max="15" width="17" customWidth="1"/>
    <col min="16" max="26" width="9" customWidth="1"/>
  </cols>
  <sheetData>
    <row r="1" spans="1:26" ht="27" customHeight="1" x14ac:dyDescent="0.4">
      <c r="A1" s="1" t="s">
        <v>0</v>
      </c>
      <c r="B1" s="2"/>
      <c r="C1" s="2"/>
      <c r="D1" s="3"/>
      <c r="E1" s="2"/>
      <c r="F1" s="2"/>
      <c r="G1" s="2"/>
      <c r="H1" s="2"/>
      <c r="I1" s="2"/>
      <c r="J1" s="4"/>
      <c r="K1" s="2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x14ac:dyDescent="0.3">
      <c r="A2" s="5"/>
      <c r="D2" s="6"/>
    </row>
    <row r="3" spans="1:26" ht="21" x14ac:dyDescent="0.35">
      <c r="A3" s="9" t="s">
        <v>48</v>
      </c>
      <c r="B3" s="10"/>
      <c r="C3" s="10"/>
      <c r="D3" s="11"/>
      <c r="E3" s="10"/>
      <c r="F3" s="10"/>
      <c r="G3" s="10"/>
      <c r="H3" s="10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245" t="s">
        <v>1</v>
      </c>
      <c r="B4" s="236"/>
      <c r="C4" s="236"/>
      <c r="D4" s="236"/>
      <c r="E4" s="236"/>
      <c r="F4" s="236"/>
      <c r="G4" s="236"/>
      <c r="H4" s="236"/>
      <c r="I4" s="236"/>
      <c r="J4" s="246"/>
      <c r="K4" s="12"/>
      <c r="L4" s="13"/>
      <c r="M4" s="14" t="s">
        <v>2</v>
      </c>
      <c r="N4" s="14" t="s">
        <v>2</v>
      </c>
      <c r="O4" s="14" t="s">
        <v>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8.5" customHeight="1" x14ac:dyDescent="0.25">
      <c r="A5" s="230" t="s">
        <v>3</v>
      </c>
      <c r="B5" s="230" t="s">
        <v>4</v>
      </c>
      <c r="C5" s="230" t="s">
        <v>5</v>
      </c>
      <c r="D5" s="230" t="s">
        <v>6</v>
      </c>
      <c r="E5" s="230" t="s">
        <v>7</v>
      </c>
      <c r="F5" s="230" t="s">
        <v>8</v>
      </c>
      <c r="G5" s="230" t="s">
        <v>9</v>
      </c>
      <c r="H5" s="230" t="s">
        <v>10</v>
      </c>
      <c r="I5" s="230" t="s">
        <v>11</v>
      </c>
      <c r="J5" s="238" t="s">
        <v>12</v>
      </c>
      <c r="K5" s="230" t="s">
        <v>13</v>
      </c>
      <c r="L5" s="15"/>
      <c r="M5" s="230" t="s">
        <v>14</v>
      </c>
      <c r="N5" s="230" t="s">
        <v>14</v>
      </c>
      <c r="O5" s="230" t="s">
        <v>14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231"/>
      <c r="B6" s="231"/>
      <c r="C6" s="231"/>
      <c r="D6" s="231"/>
      <c r="E6" s="231"/>
      <c r="F6" s="231"/>
      <c r="G6" s="231"/>
      <c r="H6" s="231"/>
      <c r="I6" s="231"/>
      <c r="J6" s="239"/>
      <c r="K6" s="231"/>
      <c r="L6" s="15"/>
      <c r="M6" s="231"/>
      <c r="N6" s="231"/>
      <c r="O6" s="231"/>
    </row>
    <row r="7" spans="1:26" x14ac:dyDescent="0.25">
      <c r="A7" s="18" t="s">
        <v>36</v>
      </c>
      <c r="B7" s="18" t="s">
        <v>16</v>
      </c>
      <c r="C7" s="19" t="s">
        <v>17</v>
      </c>
      <c r="D7" s="20" t="s">
        <v>37</v>
      </c>
      <c r="E7" s="46" t="s">
        <v>15</v>
      </c>
      <c r="F7" s="21" t="s">
        <v>19</v>
      </c>
      <c r="G7" s="17" t="s">
        <v>20</v>
      </c>
      <c r="H7" s="21">
        <v>1.8540000000000001</v>
      </c>
      <c r="I7" s="22">
        <v>672</v>
      </c>
      <c r="J7" s="22">
        <v>2</v>
      </c>
      <c r="K7" s="23">
        <f t="shared" ref="K7:K11" si="0">SUM(H7*(I7/1000)*J7)</f>
        <v>2.4917760000000002</v>
      </c>
      <c r="L7" s="15"/>
      <c r="M7" s="16">
        <f t="shared" ref="M7:M11" si="1">SUM(H7*(I7/1000)*J7*25)</f>
        <v>62.294400000000003</v>
      </c>
      <c r="N7" s="16">
        <f>SUM(H7*(I7/1000)*J7*22)</f>
        <v>54.819072000000006</v>
      </c>
      <c r="O7" s="16">
        <f>SUM(H7*(I7/1000)*J7*22)</f>
        <v>54.819072000000006</v>
      </c>
    </row>
    <row r="8" spans="1:26" x14ac:dyDescent="0.25">
      <c r="A8" s="26" t="s">
        <v>38</v>
      </c>
      <c r="B8" s="26" t="s">
        <v>39</v>
      </c>
      <c r="C8" s="27" t="s">
        <v>40</v>
      </c>
      <c r="D8" s="33" t="s">
        <v>18</v>
      </c>
      <c r="E8" s="47" t="s">
        <v>21</v>
      </c>
      <c r="F8" s="24" t="s">
        <v>41</v>
      </c>
      <c r="G8" s="28" t="s">
        <v>42</v>
      </c>
      <c r="H8" s="24">
        <v>1.554</v>
      </c>
      <c r="I8" s="34">
        <v>160</v>
      </c>
      <c r="J8" s="34">
        <v>4</v>
      </c>
      <c r="K8" s="25">
        <f t="shared" si="0"/>
        <v>0.99456</v>
      </c>
      <c r="L8" s="15"/>
      <c r="M8" s="16">
        <f t="shared" si="1"/>
        <v>24.864000000000001</v>
      </c>
      <c r="N8" s="16">
        <f t="shared" ref="N8:N11" si="2">SUM(H8*(I8/1000)*J8*22)</f>
        <v>21.880320000000001</v>
      </c>
      <c r="O8" s="16">
        <f t="shared" ref="O8:O11" si="3">SUM(H8*(I8/1000)*J8*22)</f>
        <v>21.880320000000001</v>
      </c>
    </row>
    <row r="9" spans="1:26" x14ac:dyDescent="0.25">
      <c r="A9" s="26" t="s">
        <v>43</v>
      </c>
      <c r="B9" s="26" t="s">
        <v>22</v>
      </c>
      <c r="C9" s="27" t="s">
        <v>23</v>
      </c>
      <c r="D9" s="27"/>
      <c r="E9" s="47" t="s">
        <v>21</v>
      </c>
      <c r="F9" s="24" t="s">
        <v>24</v>
      </c>
      <c r="G9" s="28" t="s">
        <v>25</v>
      </c>
      <c r="H9" s="24">
        <v>1.554</v>
      </c>
      <c r="I9" s="29">
        <v>168</v>
      </c>
      <c r="J9" s="29">
        <v>4</v>
      </c>
      <c r="K9" s="25">
        <f t="shared" si="0"/>
        <v>1.0442880000000001</v>
      </c>
      <c r="L9" s="15"/>
      <c r="M9" s="16">
        <f t="shared" si="1"/>
        <v>26.107200000000002</v>
      </c>
      <c r="N9" s="16">
        <f t="shared" si="2"/>
        <v>22.974336000000001</v>
      </c>
      <c r="O9" s="16">
        <f t="shared" si="3"/>
        <v>22.974336000000001</v>
      </c>
    </row>
    <row r="10" spans="1:26" x14ac:dyDescent="0.25">
      <c r="A10" s="48" t="s">
        <v>44</v>
      </c>
      <c r="B10" s="48" t="s">
        <v>27</v>
      </c>
      <c r="C10" s="49" t="s">
        <v>28</v>
      </c>
      <c r="D10" s="49"/>
      <c r="E10" s="30" t="s">
        <v>26</v>
      </c>
      <c r="F10" s="31" t="s">
        <v>49</v>
      </c>
      <c r="G10" s="50"/>
      <c r="H10" s="31">
        <v>2.1779999999999999</v>
      </c>
      <c r="I10" s="51">
        <v>2260</v>
      </c>
      <c r="J10" s="51">
        <v>2</v>
      </c>
      <c r="K10" s="32">
        <f t="shared" si="0"/>
        <v>9.8445599999999995</v>
      </c>
      <c r="L10" s="15"/>
      <c r="M10" s="16">
        <f t="shared" si="1"/>
        <v>246.11399999999998</v>
      </c>
      <c r="N10" s="16">
        <f t="shared" si="2"/>
        <v>216.58032</v>
      </c>
      <c r="O10" s="16">
        <f t="shared" si="3"/>
        <v>216.58032</v>
      </c>
    </row>
    <row r="11" spans="1:26" x14ac:dyDescent="0.25">
      <c r="A11" s="48" t="s">
        <v>45</v>
      </c>
      <c r="B11" s="48" t="s">
        <v>46</v>
      </c>
      <c r="C11" s="49" t="s">
        <v>47</v>
      </c>
      <c r="D11" s="49"/>
      <c r="E11" s="30" t="s">
        <v>26</v>
      </c>
      <c r="F11" s="31" t="s">
        <v>50</v>
      </c>
      <c r="G11" s="30"/>
      <c r="H11" s="31">
        <v>0.72199999999999998</v>
      </c>
      <c r="I11" s="52">
        <v>550</v>
      </c>
      <c r="J11" s="52">
        <v>3</v>
      </c>
      <c r="K11" s="32">
        <f t="shared" si="0"/>
        <v>1.1913</v>
      </c>
      <c r="L11" s="15"/>
      <c r="M11" s="16">
        <f t="shared" si="1"/>
        <v>29.782499999999999</v>
      </c>
      <c r="N11" s="16">
        <f t="shared" si="2"/>
        <v>26.208600000000001</v>
      </c>
      <c r="O11" s="16">
        <f t="shared" si="3"/>
        <v>26.208600000000001</v>
      </c>
    </row>
    <row r="12" spans="1:26" x14ac:dyDescent="0.25">
      <c r="I12" s="240" t="s">
        <v>29</v>
      </c>
      <c r="J12" s="241"/>
      <c r="K12" s="35">
        <f>SUM(K7:K11)</f>
        <v>15.566484000000001</v>
      </c>
      <c r="L12" s="36"/>
      <c r="M12" s="37">
        <f>SUM(M7:M11)</f>
        <v>389.16210000000001</v>
      </c>
      <c r="N12" s="37">
        <f>SUM(N7:N11)</f>
        <v>342.462648</v>
      </c>
      <c r="O12" s="37">
        <f>SUM(O7:O11)</f>
        <v>342.462648</v>
      </c>
    </row>
    <row r="13" spans="1:26" x14ac:dyDescent="0.25">
      <c r="I13" s="242" t="s">
        <v>30</v>
      </c>
      <c r="J13" s="236"/>
      <c r="K13" s="237"/>
      <c r="L13" s="36"/>
      <c r="M13" s="38">
        <f>M12/K12</f>
        <v>25</v>
      </c>
      <c r="N13" s="38">
        <f>N12/K12</f>
        <v>22</v>
      </c>
      <c r="O13" s="38">
        <f>O12/K12</f>
        <v>22</v>
      </c>
    </row>
    <row r="14" spans="1:26" x14ac:dyDescent="0.25">
      <c r="I14" s="243" t="s">
        <v>31</v>
      </c>
      <c r="J14" s="244"/>
      <c r="K14" s="39">
        <f>K12</f>
        <v>15.566484000000001</v>
      </c>
      <c r="L14" s="40"/>
      <c r="M14" s="41">
        <f>M12</f>
        <v>389.16210000000001</v>
      </c>
      <c r="N14" s="41">
        <f>N12</f>
        <v>342.462648</v>
      </c>
      <c r="O14" s="41">
        <f>O12</f>
        <v>342.462648</v>
      </c>
    </row>
    <row r="15" spans="1:26" x14ac:dyDescent="0.25">
      <c r="I15" s="240" t="s">
        <v>32</v>
      </c>
      <c r="J15" s="241"/>
      <c r="K15" s="35">
        <f>K14/0.97</f>
        <v>16.047921649484536</v>
      </c>
      <c r="L15" s="36"/>
      <c r="M15" s="37"/>
      <c r="N15" s="37"/>
      <c r="O15" s="37"/>
    </row>
    <row r="16" spans="1:26" x14ac:dyDescent="0.25">
      <c r="I16" s="232" t="s">
        <v>33</v>
      </c>
      <c r="J16" s="233"/>
      <c r="K16" s="234"/>
      <c r="L16" s="36"/>
      <c r="M16" s="42">
        <f>(K15*M13)/0.9</f>
        <v>445.77560137457044</v>
      </c>
      <c r="N16" s="42">
        <f>(K15*N13)/0.9</f>
        <v>392.282529209622</v>
      </c>
      <c r="O16" s="42">
        <f>(K15*O13)/0.9</f>
        <v>392.282529209622</v>
      </c>
    </row>
    <row r="17" spans="1:15" x14ac:dyDescent="0.25">
      <c r="I17" s="235" t="s">
        <v>34</v>
      </c>
      <c r="J17" s="236"/>
      <c r="K17" s="237"/>
      <c r="L17" s="43"/>
      <c r="M17" s="44">
        <f>M16/3.8</f>
        <v>117.3093687827817</v>
      </c>
      <c r="N17" s="44">
        <f>N16/3.8</f>
        <v>103.2322445288479</v>
      </c>
      <c r="O17" s="44">
        <f>O16/3.9</f>
        <v>100.58526389990308</v>
      </c>
    </row>
    <row r="18" spans="1:15" x14ac:dyDescent="0.25">
      <c r="A18" s="53"/>
      <c r="B18" s="53"/>
      <c r="C18" s="45"/>
      <c r="D18" s="45"/>
      <c r="E18" s="54"/>
      <c r="F18" s="8"/>
      <c r="G18" s="7"/>
      <c r="H18" s="8"/>
      <c r="I18" s="55"/>
      <c r="J18" s="55"/>
      <c r="K18" s="56"/>
    </row>
    <row r="20" spans="1:15" ht="15.75" customHeight="1" x14ac:dyDescent="0.25"/>
    <row r="21" spans="1:15" ht="21" x14ac:dyDescent="0.35">
      <c r="A21" s="9" t="s">
        <v>35</v>
      </c>
      <c r="B21" s="10"/>
      <c r="C21" s="10"/>
      <c r="D21" s="11"/>
      <c r="E21" s="10"/>
      <c r="F21" s="10"/>
      <c r="G21" s="10"/>
      <c r="H21" s="10"/>
      <c r="I21" s="10"/>
      <c r="J21" s="4"/>
      <c r="K21" s="4"/>
      <c r="L21" s="4"/>
      <c r="M21" s="4"/>
      <c r="N21" s="4"/>
      <c r="O21" s="4"/>
    </row>
    <row r="22" spans="1:15" ht="15.75" customHeight="1" x14ac:dyDescent="0.25">
      <c r="A22" s="245" t="s">
        <v>1</v>
      </c>
      <c r="B22" s="236"/>
      <c r="C22" s="236"/>
      <c r="D22" s="236"/>
      <c r="E22" s="236"/>
      <c r="F22" s="236"/>
      <c r="G22" s="236"/>
      <c r="H22" s="236"/>
      <c r="I22" s="236"/>
      <c r="J22" s="246"/>
      <c r="K22" s="12"/>
      <c r="L22" s="13"/>
      <c r="M22" s="14" t="s">
        <v>2</v>
      </c>
      <c r="N22" s="14" t="s">
        <v>2</v>
      </c>
      <c r="O22" s="14" t="s">
        <v>2</v>
      </c>
    </row>
    <row r="23" spans="1:15" ht="15.75" customHeight="1" x14ac:dyDescent="0.25">
      <c r="A23" s="230" t="s">
        <v>3</v>
      </c>
      <c r="B23" s="230" t="s">
        <v>4</v>
      </c>
      <c r="C23" s="230" t="s">
        <v>5</v>
      </c>
      <c r="D23" s="230" t="s">
        <v>6</v>
      </c>
      <c r="E23" s="230" t="s">
        <v>7</v>
      </c>
      <c r="F23" s="230" t="s">
        <v>8</v>
      </c>
      <c r="G23" s="230" t="s">
        <v>9</v>
      </c>
      <c r="H23" s="230" t="s">
        <v>10</v>
      </c>
      <c r="I23" s="230" t="s">
        <v>11</v>
      </c>
      <c r="J23" s="238" t="s">
        <v>12</v>
      </c>
      <c r="K23" s="230" t="s">
        <v>13</v>
      </c>
      <c r="L23" s="15"/>
      <c r="M23" s="230" t="s">
        <v>14</v>
      </c>
      <c r="N23" s="230" t="s">
        <v>14</v>
      </c>
      <c r="O23" s="230" t="s">
        <v>14</v>
      </c>
    </row>
    <row r="24" spans="1:15" ht="15.75" customHeight="1" x14ac:dyDescent="0.25">
      <c r="A24" s="231"/>
      <c r="B24" s="231"/>
      <c r="C24" s="231"/>
      <c r="D24" s="231"/>
      <c r="E24" s="231"/>
      <c r="F24" s="231"/>
      <c r="G24" s="231"/>
      <c r="H24" s="231"/>
      <c r="I24" s="231"/>
      <c r="J24" s="239"/>
      <c r="K24" s="231"/>
      <c r="L24" s="15"/>
      <c r="M24" s="231"/>
      <c r="N24" s="231"/>
      <c r="O24" s="231"/>
    </row>
    <row r="25" spans="1:15" ht="15.75" customHeight="1" x14ac:dyDescent="0.25">
      <c r="A25" s="18" t="s">
        <v>36</v>
      </c>
      <c r="B25" s="18" t="s">
        <v>16</v>
      </c>
      <c r="C25" s="19" t="s">
        <v>17</v>
      </c>
      <c r="D25" s="20" t="s">
        <v>37</v>
      </c>
      <c r="E25" s="46" t="s">
        <v>15</v>
      </c>
      <c r="F25" s="21" t="s">
        <v>19</v>
      </c>
      <c r="G25" s="17" t="s">
        <v>20</v>
      </c>
      <c r="H25" s="21">
        <v>1.8540000000000001</v>
      </c>
      <c r="I25" s="22">
        <v>672</v>
      </c>
      <c r="J25" s="22">
        <v>2</v>
      </c>
      <c r="K25" s="23">
        <f t="shared" ref="K25:K29" si="4">SUM(H25*(I25/1000)*J25)</f>
        <v>2.4917760000000002</v>
      </c>
      <c r="L25" s="15"/>
      <c r="M25" s="16">
        <f t="shared" ref="M25:M29" si="5">SUM(H25*(I25/1000)*J25*25)</f>
        <v>62.294400000000003</v>
      </c>
      <c r="N25" s="16">
        <f>SUM(H25*(I25/1000)*J25*22)</f>
        <v>54.819072000000006</v>
      </c>
      <c r="O25" s="16">
        <f>SUM(H25*(I25/1000)*J25*22)</f>
        <v>54.819072000000006</v>
      </c>
    </row>
    <row r="26" spans="1:15" ht="15.75" customHeight="1" x14ac:dyDescent="0.25">
      <c r="A26" s="26" t="s">
        <v>38</v>
      </c>
      <c r="B26" s="26" t="s">
        <v>39</v>
      </c>
      <c r="C26" s="27" t="s">
        <v>40</v>
      </c>
      <c r="D26" s="33" t="s">
        <v>18</v>
      </c>
      <c r="E26" s="47" t="s">
        <v>21</v>
      </c>
      <c r="F26" s="24" t="s">
        <v>41</v>
      </c>
      <c r="G26" s="28" t="s">
        <v>42</v>
      </c>
      <c r="H26" s="24">
        <v>1.554</v>
      </c>
      <c r="I26" s="34">
        <v>160</v>
      </c>
      <c r="J26" s="34">
        <v>4</v>
      </c>
      <c r="K26" s="25">
        <f t="shared" si="4"/>
        <v>0.99456</v>
      </c>
      <c r="L26" s="15"/>
      <c r="M26" s="16">
        <f t="shared" si="5"/>
        <v>24.864000000000001</v>
      </c>
      <c r="N26" s="16">
        <f t="shared" ref="N26:N29" si="6">SUM(H26*(I26/1000)*J26*22)</f>
        <v>21.880320000000001</v>
      </c>
      <c r="O26" s="16">
        <f t="shared" ref="O26:O29" si="7">SUM(H26*(I26/1000)*J26*22)</f>
        <v>21.880320000000001</v>
      </c>
    </row>
    <row r="27" spans="1:15" ht="15.75" customHeight="1" x14ac:dyDescent="0.25">
      <c r="A27" s="26" t="s">
        <v>43</v>
      </c>
      <c r="B27" s="26" t="s">
        <v>22</v>
      </c>
      <c r="C27" s="27" t="s">
        <v>23</v>
      </c>
      <c r="D27" s="27"/>
      <c r="E27" s="47" t="s">
        <v>21</v>
      </c>
      <c r="F27" s="24" t="s">
        <v>24</v>
      </c>
      <c r="G27" s="28" t="s">
        <v>25</v>
      </c>
      <c r="H27" s="24">
        <v>1.554</v>
      </c>
      <c r="I27" s="29">
        <v>168</v>
      </c>
      <c r="J27" s="29">
        <v>4</v>
      </c>
      <c r="K27" s="25">
        <f t="shared" si="4"/>
        <v>1.0442880000000001</v>
      </c>
      <c r="L27" s="15"/>
      <c r="M27" s="16">
        <f t="shared" si="5"/>
        <v>26.107200000000002</v>
      </c>
      <c r="N27" s="16">
        <f t="shared" si="6"/>
        <v>22.974336000000001</v>
      </c>
      <c r="O27" s="16">
        <f t="shared" si="7"/>
        <v>22.974336000000001</v>
      </c>
    </row>
    <row r="28" spans="1:15" ht="15.75" customHeight="1" x14ac:dyDescent="0.25">
      <c r="A28" s="48" t="s">
        <v>44</v>
      </c>
      <c r="B28" s="48" t="s">
        <v>27</v>
      </c>
      <c r="C28" s="49" t="s">
        <v>28</v>
      </c>
      <c r="D28" s="49"/>
      <c r="E28" s="30" t="s">
        <v>26</v>
      </c>
      <c r="F28" s="31" t="s">
        <v>49</v>
      </c>
      <c r="G28" s="50"/>
      <c r="H28" s="31">
        <v>2.1779999999999999</v>
      </c>
      <c r="I28" s="51">
        <v>2560</v>
      </c>
      <c r="J28" s="51">
        <v>2</v>
      </c>
      <c r="K28" s="32">
        <f t="shared" si="4"/>
        <v>11.15136</v>
      </c>
      <c r="L28" s="15"/>
      <c r="M28" s="16">
        <f t="shared" si="5"/>
        <v>278.78399999999999</v>
      </c>
      <c r="N28" s="16">
        <f t="shared" si="6"/>
        <v>245.32992000000002</v>
      </c>
      <c r="O28" s="16">
        <f t="shared" si="7"/>
        <v>245.32992000000002</v>
      </c>
    </row>
    <row r="29" spans="1:15" ht="15.75" customHeight="1" x14ac:dyDescent="0.25">
      <c r="A29" s="48" t="s">
        <v>45</v>
      </c>
      <c r="B29" s="48" t="s">
        <v>46</v>
      </c>
      <c r="C29" s="49" t="s">
        <v>47</v>
      </c>
      <c r="D29" s="49"/>
      <c r="E29" s="30" t="s">
        <v>26</v>
      </c>
      <c r="F29" s="31" t="s">
        <v>50</v>
      </c>
      <c r="G29" s="30"/>
      <c r="H29" s="31">
        <v>0.72199999999999998</v>
      </c>
      <c r="I29" s="52">
        <v>550</v>
      </c>
      <c r="J29" s="52">
        <v>4</v>
      </c>
      <c r="K29" s="32">
        <f t="shared" si="4"/>
        <v>1.5884</v>
      </c>
      <c r="L29" s="15"/>
      <c r="M29" s="16">
        <f t="shared" si="5"/>
        <v>39.71</v>
      </c>
      <c r="N29" s="16">
        <f t="shared" si="6"/>
        <v>34.944800000000001</v>
      </c>
      <c r="O29" s="16">
        <f t="shared" si="7"/>
        <v>34.944800000000001</v>
      </c>
    </row>
    <row r="30" spans="1:15" ht="15.75" customHeight="1" x14ac:dyDescent="0.25">
      <c r="I30" s="240" t="s">
        <v>29</v>
      </c>
      <c r="J30" s="241"/>
      <c r="K30" s="35">
        <f>SUM(K25:K29)</f>
        <v>17.270384</v>
      </c>
      <c r="L30" s="36"/>
      <c r="M30" s="37">
        <f>SUM(M25:M29)</f>
        <v>431.75959999999998</v>
      </c>
      <c r="N30" s="37">
        <f>SUM(N25:N29)</f>
        <v>379.94844799999998</v>
      </c>
      <c r="O30" s="37">
        <f>SUM(O25:O29)</f>
        <v>379.94844799999998</v>
      </c>
    </row>
    <row r="31" spans="1:15" ht="15.75" customHeight="1" x14ac:dyDescent="0.25">
      <c r="I31" s="242" t="s">
        <v>30</v>
      </c>
      <c r="J31" s="236"/>
      <c r="K31" s="237"/>
      <c r="L31" s="36"/>
      <c r="M31" s="38">
        <f>M30/K30</f>
        <v>25</v>
      </c>
      <c r="N31" s="38">
        <f>N30/K30</f>
        <v>22</v>
      </c>
      <c r="O31" s="38">
        <f>O30/K30</f>
        <v>22</v>
      </c>
    </row>
    <row r="32" spans="1:15" ht="15.75" customHeight="1" thickBot="1" x14ac:dyDescent="0.3">
      <c r="I32" s="243" t="s">
        <v>31</v>
      </c>
      <c r="J32" s="244"/>
      <c r="K32" s="39">
        <f>K30</f>
        <v>17.270384</v>
      </c>
      <c r="L32" s="40"/>
      <c r="M32" s="41">
        <f>M30</f>
        <v>431.75959999999998</v>
      </c>
      <c r="N32" s="41">
        <f>N30</f>
        <v>379.94844799999998</v>
      </c>
      <c r="O32" s="41">
        <f>O30</f>
        <v>379.94844799999998</v>
      </c>
    </row>
    <row r="33" spans="1:15" ht="15.75" customHeight="1" x14ac:dyDescent="0.25">
      <c r="I33" s="240" t="s">
        <v>32</v>
      </c>
      <c r="J33" s="241"/>
      <c r="K33" s="35">
        <f>K32/0.97</f>
        <v>17.804519587628867</v>
      </c>
      <c r="L33" s="36"/>
      <c r="M33" s="37"/>
      <c r="N33" s="37"/>
      <c r="O33" s="37"/>
    </row>
    <row r="34" spans="1:15" ht="15.75" customHeight="1" x14ac:dyDescent="0.25">
      <c r="I34" s="232" t="s">
        <v>33</v>
      </c>
      <c r="J34" s="233"/>
      <c r="K34" s="234"/>
      <c r="L34" s="36"/>
      <c r="M34" s="42">
        <f>(K33*M31)/0.9</f>
        <v>494.5699885452463</v>
      </c>
      <c r="N34" s="42">
        <f>(K33*N31)/0.9</f>
        <v>435.22158991981672</v>
      </c>
      <c r="O34" s="42">
        <f>(K33*O31)/0.9</f>
        <v>435.22158991981672</v>
      </c>
    </row>
    <row r="35" spans="1:15" ht="15.75" customHeight="1" x14ac:dyDescent="0.25">
      <c r="I35" s="235" t="s">
        <v>34</v>
      </c>
      <c r="J35" s="236"/>
      <c r="K35" s="237"/>
      <c r="L35" s="43"/>
      <c r="M35" s="44">
        <f>M34/3.8</f>
        <v>130.14999698559114</v>
      </c>
      <c r="N35" s="44">
        <f>N34/3.8</f>
        <v>114.5319973473202</v>
      </c>
      <c r="O35" s="44">
        <f>O34/3.9</f>
        <v>111.59527946661967</v>
      </c>
    </row>
    <row r="36" spans="1:15" ht="15.75" customHeight="1" x14ac:dyDescent="0.25"/>
    <row r="37" spans="1:15" ht="15.75" customHeight="1" x14ac:dyDescent="0.25"/>
    <row r="38" spans="1:15" ht="21" x14ac:dyDescent="0.35">
      <c r="A38" s="9" t="s">
        <v>61</v>
      </c>
      <c r="B38" s="10"/>
      <c r="C38" s="10"/>
      <c r="D38" s="11"/>
      <c r="E38" s="10"/>
      <c r="F38" s="10"/>
      <c r="G38" s="10"/>
      <c r="H38" s="10"/>
      <c r="I38" s="10"/>
      <c r="J38" s="4"/>
      <c r="K38" s="4"/>
      <c r="L38" s="4"/>
      <c r="M38" s="4"/>
      <c r="N38" s="4"/>
      <c r="O38" s="4"/>
    </row>
    <row r="39" spans="1:15" ht="15.75" customHeight="1" x14ac:dyDescent="0.25">
      <c r="A39" s="245" t="s">
        <v>1</v>
      </c>
      <c r="B39" s="236"/>
      <c r="C39" s="236"/>
      <c r="D39" s="236"/>
      <c r="E39" s="236"/>
      <c r="F39" s="236"/>
      <c r="G39" s="236"/>
      <c r="H39" s="236"/>
      <c r="I39" s="236"/>
      <c r="J39" s="246"/>
      <c r="K39" s="12"/>
      <c r="L39" s="13"/>
      <c r="M39" s="14" t="s">
        <v>2</v>
      </c>
      <c r="N39" s="14" t="s">
        <v>2</v>
      </c>
      <c r="O39" s="14" t="s">
        <v>2</v>
      </c>
    </row>
    <row r="40" spans="1:15" ht="15.75" customHeight="1" x14ac:dyDescent="0.25">
      <c r="A40" s="230" t="s">
        <v>3</v>
      </c>
      <c r="B40" s="230" t="s">
        <v>4</v>
      </c>
      <c r="C40" s="230" t="s">
        <v>5</v>
      </c>
      <c r="D40" s="230" t="s">
        <v>6</v>
      </c>
      <c r="E40" s="230" t="s">
        <v>7</v>
      </c>
      <c r="F40" s="230" t="s">
        <v>8</v>
      </c>
      <c r="G40" s="230" t="s">
        <v>9</v>
      </c>
      <c r="H40" s="230" t="s">
        <v>10</v>
      </c>
      <c r="I40" s="230" t="s">
        <v>11</v>
      </c>
      <c r="J40" s="238" t="s">
        <v>12</v>
      </c>
      <c r="K40" s="230" t="s">
        <v>13</v>
      </c>
      <c r="L40" s="15"/>
      <c r="M40" s="230" t="s">
        <v>14</v>
      </c>
      <c r="N40" s="230" t="s">
        <v>14</v>
      </c>
      <c r="O40" s="230" t="s">
        <v>14</v>
      </c>
    </row>
    <row r="41" spans="1:15" ht="15.75" customHeight="1" x14ac:dyDescent="0.25">
      <c r="A41" s="231"/>
      <c r="B41" s="231"/>
      <c r="C41" s="231"/>
      <c r="D41" s="231"/>
      <c r="E41" s="231"/>
      <c r="F41" s="231"/>
      <c r="G41" s="231"/>
      <c r="H41" s="231"/>
      <c r="I41" s="231"/>
      <c r="J41" s="239"/>
      <c r="K41" s="231"/>
      <c r="L41" s="15"/>
      <c r="M41" s="231"/>
      <c r="N41" s="231"/>
      <c r="O41" s="231"/>
    </row>
    <row r="42" spans="1:15" ht="15.75" customHeight="1" x14ac:dyDescent="0.25">
      <c r="A42" s="18" t="s">
        <v>36</v>
      </c>
      <c r="B42" s="18" t="s">
        <v>16</v>
      </c>
      <c r="C42" s="19" t="s">
        <v>17</v>
      </c>
      <c r="D42" s="20" t="s">
        <v>37</v>
      </c>
      <c r="E42" s="46" t="s">
        <v>15</v>
      </c>
      <c r="F42" s="21" t="s">
        <v>19</v>
      </c>
      <c r="G42" s="17" t="s">
        <v>20</v>
      </c>
      <c r="H42" s="21">
        <v>1.8540000000000001</v>
      </c>
      <c r="I42" s="22">
        <v>672</v>
      </c>
      <c r="J42" s="22">
        <v>2</v>
      </c>
      <c r="K42" s="23">
        <f t="shared" ref="K42:K46" si="8">SUM(H42*(I42/1000)*J42)</f>
        <v>2.4917760000000002</v>
      </c>
      <c r="L42" s="15"/>
      <c r="M42" s="16">
        <f t="shared" ref="M42:M46" si="9">SUM(H42*(I42/1000)*J42*25)</f>
        <v>62.294400000000003</v>
      </c>
      <c r="N42" s="16">
        <f>SUM(H42*(I42/1000)*J42*22)</f>
        <v>54.819072000000006</v>
      </c>
      <c r="O42" s="16">
        <f>SUM(H42*(I42/1000)*J42*22)</f>
        <v>54.819072000000006</v>
      </c>
    </row>
    <row r="43" spans="1:15" ht="15.75" customHeight="1" x14ac:dyDescent="0.25">
      <c r="A43" s="26" t="s">
        <v>38</v>
      </c>
      <c r="B43" s="26" t="s">
        <v>39</v>
      </c>
      <c r="C43" s="27" t="s">
        <v>40</v>
      </c>
      <c r="D43" s="33" t="s">
        <v>18</v>
      </c>
      <c r="E43" s="47" t="s">
        <v>21</v>
      </c>
      <c r="F43" s="24" t="s">
        <v>41</v>
      </c>
      <c r="G43" s="28" t="s">
        <v>42</v>
      </c>
      <c r="H43" s="24">
        <v>1.554</v>
      </c>
      <c r="I43" s="34">
        <v>160</v>
      </c>
      <c r="J43" s="34">
        <v>4</v>
      </c>
      <c r="K43" s="25">
        <f t="shared" si="8"/>
        <v>0.99456</v>
      </c>
      <c r="L43" s="15"/>
      <c r="M43" s="16">
        <f t="shared" si="9"/>
        <v>24.864000000000001</v>
      </c>
      <c r="N43" s="16">
        <f t="shared" ref="N43:N46" si="10">SUM(H43*(I43/1000)*J43*22)</f>
        <v>21.880320000000001</v>
      </c>
      <c r="O43" s="16">
        <f t="shared" ref="O43:O46" si="11">SUM(H43*(I43/1000)*J43*22)</f>
        <v>21.880320000000001</v>
      </c>
    </row>
    <row r="44" spans="1:15" ht="15.75" customHeight="1" x14ac:dyDescent="0.25">
      <c r="A44" s="26" t="s">
        <v>43</v>
      </c>
      <c r="B44" s="26" t="s">
        <v>22</v>
      </c>
      <c r="C44" s="27" t="s">
        <v>23</v>
      </c>
      <c r="D44" s="27"/>
      <c r="E44" s="47" t="s">
        <v>21</v>
      </c>
      <c r="F44" s="24" t="s">
        <v>24</v>
      </c>
      <c r="G44" s="28" t="s">
        <v>25</v>
      </c>
      <c r="H44" s="24">
        <v>1.554</v>
      </c>
      <c r="I44" s="29">
        <v>168</v>
      </c>
      <c r="J44" s="29">
        <v>4</v>
      </c>
      <c r="K44" s="25">
        <f t="shared" si="8"/>
        <v>1.0442880000000001</v>
      </c>
      <c r="L44" s="15"/>
      <c r="M44" s="16">
        <f t="shared" si="9"/>
        <v>26.107200000000002</v>
      </c>
      <c r="N44" s="16">
        <f t="shared" si="10"/>
        <v>22.974336000000001</v>
      </c>
      <c r="O44" s="16">
        <f t="shared" si="11"/>
        <v>22.974336000000001</v>
      </c>
    </row>
    <row r="45" spans="1:15" ht="15.75" customHeight="1" x14ac:dyDescent="0.25">
      <c r="A45" s="48" t="s">
        <v>44</v>
      </c>
      <c r="B45" s="48" t="s">
        <v>27</v>
      </c>
      <c r="C45" s="49" t="s">
        <v>28</v>
      </c>
      <c r="D45" s="49"/>
      <c r="E45" s="30" t="s">
        <v>26</v>
      </c>
      <c r="F45" s="31" t="s">
        <v>49</v>
      </c>
      <c r="G45" s="50"/>
      <c r="H45" s="31">
        <v>2.1779999999999999</v>
      </c>
      <c r="I45" s="51">
        <v>2860</v>
      </c>
      <c r="J45" s="51">
        <v>2</v>
      </c>
      <c r="K45" s="32">
        <f t="shared" si="8"/>
        <v>12.458159999999999</v>
      </c>
      <c r="L45" s="15"/>
      <c r="M45" s="16">
        <f t="shared" si="9"/>
        <v>311.45400000000001</v>
      </c>
      <c r="N45" s="16">
        <f t="shared" si="10"/>
        <v>274.07952</v>
      </c>
      <c r="O45" s="16">
        <f t="shared" si="11"/>
        <v>274.07952</v>
      </c>
    </row>
    <row r="46" spans="1:15" ht="15.75" customHeight="1" x14ac:dyDescent="0.25">
      <c r="A46" s="48" t="s">
        <v>45</v>
      </c>
      <c r="B46" s="48" t="s">
        <v>46</v>
      </c>
      <c r="C46" s="49" t="s">
        <v>47</v>
      </c>
      <c r="D46" s="49"/>
      <c r="E46" s="30" t="s">
        <v>26</v>
      </c>
      <c r="F46" s="31" t="s">
        <v>50</v>
      </c>
      <c r="G46" s="30"/>
      <c r="H46" s="31">
        <v>0.72199999999999998</v>
      </c>
      <c r="I46" s="52">
        <v>550</v>
      </c>
      <c r="J46" s="52">
        <v>5</v>
      </c>
      <c r="K46" s="32">
        <f t="shared" si="8"/>
        <v>1.9855</v>
      </c>
      <c r="L46" s="15"/>
      <c r="M46" s="16">
        <f t="shared" si="9"/>
        <v>49.637500000000003</v>
      </c>
      <c r="N46" s="16">
        <f t="shared" si="10"/>
        <v>43.680999999999997</v>
      </c>
      <c r="O46" s="16">
        <f t="shared" si="11"/>
        <v>43.680999999999997</v>
      </c>
    </row>
    <row r="47" spans="1:15" ht="15.75" customHeight="1" x14ac:dyDescent="0.25">
      <c r="I47" s="240" t="s">
        <v>29</v>
      </c>
      <c r="J47" s="241"/>
      <c r="K47" s="35">
        <f>SUM(K42:K46)</f>
        <v>18.974283999999997</v>
      </c>
      <c r="L47" s="36"/>
      <c r="M47" s="37">
        <f>SUM(M42:M46)</f>
        <v>474.3571</v>
      </c>
      <c r="N47" s="37">
        <f>SUM(N42:N46)</f>
        <v>417.43424799999997</v>
      </c>
      <c r="O47" s="37">
        <f>SUM(O42:O46)</f>
        <v>417.43424799999997</v>
      </c>
    </row>
    <row r="48" spans="1:15" ht="15.75" customHeight="1" x14ac:dyDescent="0.25">
      <c r="I48" s="242" t="s">
        <v>30</v>
      </c>
      <c r="J48" s="236"/>
      <c r="K48" s="237"/>
      <c r="L48" s="36"/>
      <c r="M48" s="38">
        <f>M47/K47</f>
        <v>25.000000000000004</v>
      </c>
      <c r="N48" s="38">
        <f>N47/K47</f>
        <v>22</v>
      </c>
      <c r="O48" s="38">
        <f>O47/K47</f>
        <v>22</v>
      </c>
    </row>
    <row r="49" spans="1:15" ht="15.75" customHeight="1" thickBot="1" x14ac:dyDescent="0.3">
      <c r="I49" s="243" t="s">
        <v>31</v>
      </c>
      <c r="J49" s="244"/>
      <c r="K49" s="39">
        <f>K47</f>
        <v>18.974283999999997</v>
      </c>
      <c r="L49" s="40"/>
      <c r="M49" s="41">
        <f>M47</f>
        <v>474.3571</v>
      </c>
      <c r="N49" s="41">
        <f>N47</f>
        <v>417.43424799999997</v>
      </c>
      <c r="O49" s="41">
        <f>O47</f>
        <v>417.43424799999997</v>
      </c>
    </row>
    <row r="50" spans="1:15" ht="15.75" customHeight="1" x14ac:dyDescent="0.25">
      <c r="I50" s="240" t="s">
        <v>32</v>
      </c>
      <c r="J50" s="241"/>
      <c r="K50" s="35">
        <f>K49/0.97</f>
        <v>19.561117525773195</v>
      </c>
      <c r="L50" s="36"/>
      <c r="M50" s="37"/>
      <c r="N50" s="37"/>
      <c r="O50" s="37"/>
    </row>
    <row r="51" spans="1:15" ht="15.75" customHeight="1" x14ac:dyDescent="0.25">
      <c r="I51" s="232" t="s">
        <v>33</v>
      </c>
      <c r="J51" s="233"/>
      <c r="K51" s="234"/>
      <c r="L51" s="36"/>
      <c r="M51" s="42">
        <f>(K50*M48)/0.9</f>
        <v>543.36437571592216</v>
      </c>
      <c r="N51" s="42">
        <f>(K50*N48)/0.9</f>
        <v>478.16065063001145</v>
      </c>
      <c r="O51" s="42">
        <f>(K50*O48)/0.9</f>
        <v>478.16065063001145</v>
      </c>
    </row>
    <row r="52" spans="1:15" ht="15.75" customHeight="1" x14ac:dyDescent="0.25">
      <c r="I52" s="235" t="s">
        <v>34</v>
      </c>
      <c r="J52" s="236"/>
      <c r="K52" s="237"/>
      <c r="L52" s="43"/>
      <c r="M52" s="44">
        <f>M51/3.8</f>
        <v>142.99062518840057</v>
      </c>
      <c r="N52" s="44">
        <f>N51/3.8</f>
        <v>125.83175016579249</v>
      </c>
      <c r="O52" s="44">
        <f>O51/3.9</f>
        <v>122.60529503333628</v>
      </c>
    </row>
    <row r="53" spans="1:15" ht="15.75" customHeight="1" x14ac:dyDescent="0.25"/>
    <row r="54" spans="1:15" ht="15.75" customHeight="1" x14ac:dyDescent="0.25"/>
    <row r="55" spans="1:15" ht="21" x14ac:dyDescent="0.35">
      <c r="A55" s="9" t="s">
        <v>62</v>
      </c>
      <c r="B55" s="10"/>
      <c r="C55" s="10"/>
      <c r="D55" s="11"/>
      <c r="E55" s="10"/>
      <c r="F55" s="10"/>
      <c r="G55" s="10"/>
      <c r="H55" s="10"/>
      <c r="I55" s="10"/>
      <c r="J55" s="4"/>
      <c r="K55" s="4"/>
      <c r="L55" s="4"/>
      <c r="M55" s="4"/>
      <c r="N55" s="4"/>
      <c r="O55" s="4"/>
    </row>
    <row r="56" spans="1:15" ht="15.75" customHeight="1" x14ac:dyDescent="0.25">
      <c r="A56" s="245" t="s">
        <v>1</v>
      </c>
      <c r="B56" s="236"/>
      <c r="C56" s="236"/>
      <c r="D56" s="236"/>
      <c r="E56" s="236"/>
      <c r="F56" s="236"/>
      <c r="G56" s="236"/>
      <c r="H56" s="236"/>
      <c r="I56" s="236"/>
      <c r="J56" s="246"/>
      <c r="K56" s="12"/>
      <c r="L56" s="13"/>
      <c r="M56" s="14" t="s">
        <v>2</v>
      </c>
      <c r="N56" s="14" t="s">
        <v>2</v>
      </c>
      <c r="O56" s="14" t="s">
        <v>2</v>
      </c>
    </row>
    <row r="57" spans="1:15" ht="15.75" customHeight="1" x14ac:dyDescent="0.25">
      <c r="A57" s="230" t="s">
        <v>3</v>
      </c>
      <c r="B57" s="230" t="s">
        <v>4</v>
      </c>
      <c r="C57" s="230" t="s">
        <v>5</v>
      </c>
      <c r="D57" s="230" t="s">
        <v>6</v>
      </c>
      <c r="E57" s="230" t="s">
        <v>7</v>
      </c>
      <c r="F57" s="230" t="s">
        <v>8</v>
      </c>
      <c r="G57" s="230" t="s">
        <v>9</v>
      </c>
      <c r="H57" s="230" t="s">
        <v>10</v>
      </c>
      <c r="I57" s="230" t="s">
        <v>11</v>
      </c>
      <c r="J57" s="238" t="s">
        <v>12</v>
      </c>
      <c r="K57" s="230" t="s">
        <v>13</v>
      </c>
      <c r="L57" s="15"/>
      <c r="M57" s="230" t="s">
        <v>14</v>
      </c>
      <c r="N57" s="230" t="s">
        <v>14</v>
      </c>
      <c r="O57" s="230" t="s">
        <v>14</v>
      </c>
    </row>
    <row r="58" spans="1:15" ht="15.75" customHeight="1" x14ac:dyDescent="0.25">
      <c r="A58" s="231"/>
      <c r="B58" s="231"/>
      <c r="C58" s="231"/>
      <c r="D58" s="231"/>
      <c r="E58" s="231"/>
      <c r="F58" s="231"/>
      <c r="G58" s="231"/>
      <c r="H58" s="231"/>
      <c r="I58" s="231"/>
      <c r="J58" s="239"/>
      <c r="K58" s="231"/>
      <c r="L58" s="15"/>
      <c r="M58" s="231"/>
      <c r="N58" s="231"/>
      <c r="O58" s="231"/>
    </row>
    <row r="59" spans="1:15" ht="15.75" customHeight="1" x14ac:dyDescent="0.25">
      <c r="A59" s="18" t="s">
        <v>36</v>
      </c>
      <c r="B59" s="18" t="s">
        <v>16</v>
      </c>
      <c r="C59" s="19" t="s">
        <v>17</v>
      </c>
      <c r="D59" s="20" t="s">
        <v>37</v>
      </c>
      <c r="E59" s="46" t="s">
        <v>15</v>
      </c>
      <c r="F59" s="21" t="s">
        <v>19</v>
      </c>
      <c r="G59" s="17" t="s">
        <v>20</v>
      </c>
      <c r="H59" s="21">
        <v>1.8540000000000001</v>
      </c>
      <c r="I59" s="22">
        <v>672</v>
      </c>
      <c r="J59" s="22">
        <v>2</v>
      </c>
      <c r="K59" s="23">
        <f t="shared" ref="K59:K63" si="12">SUM(H59*(I59/1000)*J59)</f>
        <v>2.4917760000000002</v>
      </c>
      <c r="L59" s="15"/>
      <c r="M59" s="16">
        <f t="shared" ref="M59:M63" si="13">SUM(H59*(I59/1000)*J59*25)</f>
        <v>62.294400000000003</v>
      </c>
      <c r="N59" s="16">
        <f>SUM(H59*(I59/1000)*J59*22)</f>
        <v>54.819072000000006</v>
      </c>
      <c r="O59" s="16">
        <f>SUM(H59*(I59/1000)*J59*22)</f>
        <v>54.819072000000006</v>
      </c>
    </row>
    <row r="60" spans="1:15" ht="15.75" customHeight="1" x14ac:dyDescent="0.25">
      <c r="A60" s="26" t="s">
        <v>38</v>
      </c>
      <c r="B60" s="26" t="s">
        <v>39</v>
      </c>
      <c r="C60" s="27" t="s">
        <v>40</v>
      </c>
      <c r="D60" s="33" t="s">
        <v>18</v>
      </c>
      <c r="E60" s="47" t="s">
        <v>21</v>
      </c>
      <c r="F60" s="24" t="s">
        <v>41</v>
      </c>
      <c r="G60" s="28" t="s">
        <v>42</v>
      </c>
      <c r="H60" s="24">
        <v>1.554</v>
      </c>
      <c r="I60" s="34">
        <v>160</v>
      </c>
      <c r="J60" s="34">
        <v>4</v>
      </c>
      <c r="K60" s="25">
        <f t="shared" si="12"/>
        <v>0.99456</v>
      </c>
      <c r="L60" s="15"/>
      <c r="M60" s="16">
        <f t="shared" si="13"/>
        <v>24.864000000000001</v>
      </c>
      <c r="N60" s="16">
        <f t="shared" ref="N60:N63" si="14">SUM(H60*(I60/1000)*J60*22)</f>
        <v>21.880320000000001</v>
      </c>
      <c r="O60" s="16">
        <f t="shared" ref="O60:O63" si="15">SUM(H60*(I60/1000)*J60*22)</f>
        <v>21.880320000000001</v>
      </c>
    </row>
    <row r="61" spans="1:15" ht="15.75" customHeight="1" x14ac:dyDescent="0.25">
      <c r="A61" s="26" t="s">
        <v>43</v>
      </c>
      <c r="B61" s="26" t="s">
        <v>22</v>
      </c>
      <c r="C61" s="27" t="s">
        <v>23</v>
      </c>
      <c r="D61" s="27"/>
      <c r="E61" s="47" t="s">
        <v>21</v>
      </c>
      <c r="F61" s="24" t="s">
        <v>24</v>
      </c>
      <c r="G61" s="28" t="s">
        <v>25</v>
      </c>
      <c r="H61" s="24">
        <v>1.554</v>
      </c>
      <c r="I61" s="29">
        <v>168</v>
      </c>
      <c r="J61" s="29">
        <v>4</v>
      </c>
      <c r="K61" s="25">
        <f t="shared" si="12"/>
        <v>1.0442880000000001</v>
      </c>
      <c r="L61" s="15"/>
      <c r="M61" s="16">
        <f t="shared" si="13"/>
        <v>26.107200000000002</v>
      </c>
      <c r="N61" s="16">
        <f t="shared" si="14"/>
        <v>22.974336000000001</v>
      </c>
      <c r="O61" s="16">
        <f t="shared" si="15"/>
        <v>22.974336000000001</v>
      </c>
    </row>
    <row r="62" spans="1:15" ht="15.75" customHeight="1" x14ac:dyDescent="0.25">
      <c r="A62" s="48" t="s">
        <v>44</v>
      </c>
      <c r="B62" s="48" t="s">
        <v>27</v>
      </c>
      <c r="C62" s="49" t="s">
        <v>28</v>
      </c>
      <c r="D62" s="49"/>
      <c r="E62" s="30" t="s">
        <v>26</v>
      </c>
      <c r="F62" s="31" t="s">
        <v>49</v>
      </c>
      <c r="G62" s="50"/>
      <c r="H62" s="31">
        <v>2.1779999999999999</v>
      </c>
      <c r="I62" s="51">
        <v>3160</v>
      </c>
      <c r="J62" s="51">
        <v>2</v>
      </c>
      <c r="K62" s="32">
        <f t="shared" si="12"/>
        <v>13.76496</v>
      </c>
      <c r="L62" s="15"/>
      <c r="M62" s="16">
        <f t="shared" si="13"/>
        <v>344.12400000000002</v>
      </c>
      <c r="N62" s="16">
        <f t="shared" si="14"/>
        <v>302.82911999999999</v>
      </c>
      <c r="O62" s="16">
        <f t="shared" si="15"/>
        <v>302.82911999999999</v>
      </c>
    </row>
    <row r="63" spans="1:15" ht="15.75" customHeight="1" x14ac:dyDescent="0.25">
      <c r="A63" s="48" t="s">
        <v>45</v>
      </c>
      <c r="B63" s="48" t="s">
        <v>46</v>
      </c>
      <c r="C63" s="49" t="s">
        <v>47</v>
      </c>
      <c r="D63" s="49"/>
      <c r="E63" s="30" t="s">
        <v>26</v>
      </c>
      <c r="F63" s="31" t="s">
        <v>50</v>
      </c>
      <c r="G63" s="30"/>
      <c r="H63" s="31">
        <v>0.72199999999999998</v>
      </c>
      <c r="I63" s="52">
        <v>550</v>
      </c>
      <c r="J63" s="52">
        <v>6</v>
      </c>
      <c r="K63" s="32">
        <f t="shared" si="12"/>
        <v>2.3826000000000001</v>
      </c>
      <c r="L63" s="15"/>
      <c r="M63" s="16">
        <f t="shared" si="13"/>
        <v>59.564999999999998</v>
      </c>
      <c r="N63" s="16">
        <f t="shared" si="14"/>
        <v>52.417200000000001</v>
      </c>
      <c r="O63" s="16">
        <f t="shared" si="15"/>
        <v>52.417200000000001</v>
      </c>
    </row>
    <row r="64" spans="1:15" ht="15.75" customHeight="1" x14ac:dyDescent="0.25">
      <c r="I64" s="240" t="s">
        <v>29</v>
      </c>
      <c r="J64" s="241"/>
      <c r="K64" s="35">
        <f>SUM(K59:K63)</f>
        <v>20.678184000000002</v>
      </c>
      <c r="L64" s="36"/>
      <c r="M64" s="37">
        <f>SUM(M59:M63)</f>
        <v>516.95460000000003</v>
      </c>
      <c r="N64" s="37">
        <f>SUM(N59:N63)</f>
        <v>454.92004799999995</v>
      </c>
      <c r="O64" s="37">
        <f>SUM(O59:O63)</f>
        <v>454.92004799999995</v>
      </c>
    </row>
    <row r="65" spans="1:15" ht="15.75" customHeight="1" x14ac:dyDescent="0.25">
      <c r="I65" s="242" t="s">
        <v>30</v>
      </c>
      <c r="J65" s="236"/>
      <c r="K65" s="237"/>
      <c r="L65" s="36"/>
      <c r="M65" s="38">
        <f>M64/K64</f>
        <v>25</v>
      </c>
      <c r="N65" s="38">
        <f>N64/K64</f>
        <v>21.999999999999996</v>
      </c>
      <c r="O65" s="38">
        <f>O64/K64</f>
        <v>21.999999999999996</v>
      </c>
    </row>
    <row r="66" spans="1:15" ht="15.75" customHeight="1" thickBot="1" x14ac:dyDescent="0.3">
      <c r="I66" s="243" t="s">
        <v>31</v>
      </c>
      <c r="J66" s="244"/>
      <c r="K66" s="39">
        <f>K64</f>
        <v>20.678184000000002</v>
      </c>
      <c r="L66" s="40"/>
      <c r="M66" s="41">
        <f>M64</f>
        <v>516.95460000000003</v>
      </c>
      <c r="N66" s="41">
        <f>N64</f>
        <v>454.92004799999995</v>
      </c>
      <c r="O66" s="41">
        <f>O64</f>
        <v>454.92004799999995</v>
      </c>
    </row>
    <row r="67" spans="1:15" ht="15.75" customHeight="1" x14ac:dyDescent="0.25">
      <c r="I67" s="240" t="s">
        <v>32</v>
      </c>
      <c r="J67" s="241"/>
      <c r="K67" s="35">
        <f>K66/0.97</f>
        <v>21.317715463917526</v>
      </c>
      <c r="L67" s="36"/>
      <c r="M67" s="37"/>
      <c r="N67" s="37"/>
      <c r="O67" s="37"/>
    </row>
    <row r="68" spans="1:15" ht="15.75" customHeight="1" x14ac:dyDescent="0.25">
      <c r="I68" s="232" t="s">
        <v>33</v>
      </c>
      <c r="J68" s="233"/>
      <c r="K68" s="234"/>
      <c r="L68" s="36"/>
      <c r="M68" s="42">
        <f>(K67*M65)/0.9</f>
        <v>592.15876288659786</v>
      </c>
      <c r="N68" s="42">
        <f>(K67*N65)/0.9</f>
        <v>521.09971134020611</v>
      </c>
      <c r="O68" s="42">
        <f>(K67*O65)/0.9</f>
        <v>521.09971134020611</v>
      </c>
    </row>
    <row r="69" spans="1:15" ht="15.75" customHeight="1" x14ac:dyDescent="0.25">
      <c r="I69" s="235" t="s">
        <v>34</v>
      </c>
      <c r="J69" s="236"/>
      <c r="K69" s="237"/>
      <c r="L69" s="43"/>
      <c r="M69" s="44">
        <f>M68/3.8</f>
        <v>155.83125339120997</v>
      </c>
      <c r="N69" s="44">
        <f>N68/3.8</f>
        <v>137.13150298426478</v>
      </c>
      <c r="O69" s="44">
        <f>O68/3.9</f>
        <v>133.61531060005285</v>
      </c>
    </row>
    <row r="70" spans="1:15" ht="15.75" customHeight="1" x14ac:dyDescent="0.25"/>
    <row r="71" spans="1:15" ht="15.75" customHeight="1" x14ac:dyDescent="0.25"/>
    <row r="72" spans="1:15" ht="21" x14ac:dyDescent="0.35">
      <c r="A72" s="9" t="s">
        <v>64</v>
      </c>
      <c r="B72" s="10"/>
      <c r="C72" s="10"/>
      <c r="D72" s="11"/>
      <c r="E72" s="10"/>
      <c r="F72" s="10"/>
      <c r="G72" s="10"/>
      <c r="H72" s="10"/>
      <c r="I72" s="10"/>
      <c r="J72" s="4"/>
      <c r="K72" s="4"/>
      <c r="L72" s="4"/>
      <c r="M72" s="4"/>
      <c r="N72" s="4"/>
      <c r="O72" s="4"/>
    </row>
    <row r="73" spans="1:15" ht="15.75" customHeight="1" x14ac:dyDescent="0.25">
      <c r="A73" s="245" t="s">
        <v>1</v>
      </c>
      <c r="B73" s="236"/>
      <c r="C73" s="236"/>
      <c r="D73" s="236"/>
      <c r="E73" s="236"/>
      <c r="F73" s="236"/>
      <c r="G73" s="236"/>
      <c r="H73" s="236"/>
      <c r="I73" s="236"/>
      <c r="J73" s="246"/>
      <c r="K73" s="12"/>
      <c r="L73" s="13"/>
      <c r="M73" s="14" t="s">
        <v>2</v>
      </c>
      <c r="N73" s="14" t="s">
        <v>2</v>
      </c>
      <c r="O73" s="14" t="s">
        <v>2</v>
      </c>
    </row>
    <row r="74" spans="1:15" ht="15.75" customHeight="1" x14ac:dyDescent="0.25">
      <c r="A74" s="230" t="s">
        <v>3</v>
      </c>
      <c r="B74" s="230" t="s">
        <v>4</v>
      </c>
      <c r="C74" s="230" t="s">
        <v>5</v>
      </c>
      <c r="D74" s="230" t="s">
        <v>6</v>
      </c>
      <c r="E74" s="230" t="s">
        <v>7</v>
      </c>
      <c r="F74" s="230" t="s">
        <v>8</v>
      </c>
      <c r="G74" s="230" t="s">
        <v>9</v>
      </c>
      <c r="H74" s="230" t="s">
        <v>10</v>
      </c>
      <c r="I74" s="230" t="s">
        <v>11</v>
      </c>
      <c r="J74" s="238" t="s">
        <v>12</v>
      </c>
      <c r="K74" s="230" t="s">
        <v>13</v>
      </c>
      <c r="L74" s="15"/>
      <c r="M74" s="230" t="s">
        <v>14</v>
      </c>
      <c r="N74" s="230" t="s">
        <v>14</v>
      </c>
      <c r="O74" s="230" t="s">
        <v>14</v>
      </c>
    </row>
    <row r="75" spans="1:15" ht="15.75" customHeight="1" x14ac:dyDescent="0.25">
      <c r="A75" s="231"/>
      <c r="B75" s="231"/>
      <c r="C75" s="231"/>
      <c r="D75" s="231"/>
      <c r="E75" s="231"/>
      <c r="F75" s="231"/>
      <c r="G75" s="231"/>
      <c r="H75" s="231"/>
      <c r="I75" s="231"/>
      <c r="J75" s="239"/>
      <c r="K75" s="231"/>
      <c r="L75" s="15"/>
      <c r="M75" s="231"/>
      <c r="N75" s="231"/>
      <c r="O75" s="231"/>
    </row>
    <row r="76" spans="1:15" ht="15.75" customHeight="1" x14ac:dyDescent="0.25">
      <c r="A76" s="18" t="s">
        <v>36</v>
      </c>
      <c r="B76" s="18" t="s">
        <v>16</v>
      </c>
      <c r="C76" s="19" t="s">
        <v>17</v>
      </c>
      <c r="D76" s="20" t="s">
        <v>37</v>
      </c>
      <c r="E76" s="46" t="s">
        <v>15</v>
      </c>
      <c r="F76" s="21" t="s">
        <v>19</v>
      </c>
      <c r="G76" s="17" t="s">
        <v>20</v>
      </c>
      <c r="H76" s="21">
        <v>1.8540000000000001</v>
      </c>
      <c r="I76" s="22">
        <v>672</v>
      </c>
      <c r="J76" s="22">
        <v>2</v>
      </c>
      <c r="K76" s="23">
        <f t="shared" ref="K76:K80" si="16">SUM(H76*(I76/1000)*J76)</f>
        <v>2.4917760000000002</v>
      </c>
      <c r="L76" s="15"/>
      <c r="M76" s="16">
        <f t="shared" ref="M76:M80" si="17">SUM(H76*(I76/1000)*J76*25)</f>
        <v>62.294400000000003</v>
      </c>
      <c r="N76" s="16">
        <f>SUM(H76*(I76/1000)*J76*22)</f>
        <v>54.819072000000006</v>
      </c>
      <c r="O76" s="16">
        <f>SUM(H76*(I76/1000)*J76*22)</f>
        <v>54.819072000000006</v>
      </c>
    </row>
    <row r="77" spans="1:15" ht="15.75" customHeight="1" x14ac:dyDescent="0.25">
      <c r="A77" s="26" t="s">
        <v>38</v>
      </c>
      <c r="B77" s="26" t="s">
        <v>39</v>
      </c>
      <c r="C77" s="27" t="s">
        <v>40</v>
      </c>
      <c r="D77" s="33" t="s">
        <v>18</v>
      </c>
      <c r="E77" s="47" t="s">
        <v>21</v>
      </c>
      <c r="F77" s="24" t="s">
        <v>41</v>
      </c>
      <c r="G77" s="28" t="s">
        <v>42</v>
      </c>
      <c r="H77" s="24">
        <v>1.554</v>
      </c>
      <c r="I77" s="34">
        <v>160</v>
      </c>
      <c r="J77" s="34">
        <v>4</v>
      </c>
      <c r="K77" s="25">
        <f t="shared" si="16"/>
        <v>0.99456</v>
      </c>
      <c r="L77" s="15"/>
      <c r="M77" s="16">
        <f t="shared" si="17"/>
        <v>24.864000000000001</v>
      </c>
      <c r="N77" s="16">
        <f t="shared" ref="N77:N80" si="18">SUM(H77*(I77/1000)*J77*22)</f>
        <v>21.880320000000001</v>
      </c>
      <c r="O77" s="16">
        <f t="shared" ref="O77:O80" si="19">SUM(H77*(I77/1000)*J77*22)</f>
        <v>21.880320000000001</v>
      </c>
    </row>
    <row r="78" spans="1:15" ht="15.75" customHeight="1" x14ac:dyDescent="0.25">
      <c r="A78" s="26" t="s">
        <v>43</v>
      </c>
      <c r="B78" s="26" t="s">
        <v>22</v>
      </c>
      <c r="C78" s="27" t="s">
        <v>23</v>
      </c>
      <c r="D78" s="27"/>
      <c r="E78" s="47" t="s">
        <v>21</v>
      </c>
      <c r="F78" s="24" t="s">
        <v>24</v>
      </c>
      <c r="G78" s="28" t="s">
        <v>25</v>
      </c>
      <c r="H78" s="24">
        <v>1.554</v>
      </c>
      <c r="I78" s="29">
        <v>168</v>
      </c>
      <c r="J78" s="29">
        <v>4</v>
      </c>
      <c r="K78" s="25">
        <f t="shared" si="16"/>
        <v>1.0442880000000001</v>
      </c>
      <c r="L78" s="15"/>
      <c r="M78" s="16">
        <f t="shared" si="17"/>
        <v>26.107200000000002</v>
      </c>
      <c r="N78" s="16">
        <f t="shared" si="18"/>
        <v>22.974336000000001</v>
      </c>
      <c r="O78" s="16">
        <f t="shared" si="19"/>
        <v>22.974336000000001</v>
      </c>
    </row>
    <row r="79" spans="1:15" ht="15.75" customHeight="1" x14ac:dyDescent="0.25">
      <c r="A79" s="48" t="s">
        <v>44</v>
      </c>
      <c r="B79" s="48" t="s">
        <v>27</v>
      </c>
      <c r="C79" s="49" t="s">
        <v>28</v>
      </c>
      <c r="D79" s="49"/>
      <c r="E79" s="30" t="s">
        <v>26</v>
      </c>
      <c r="F79" s="31" t="s">
        <v>49</v>
      </c>
      <c r="G79" s="50"/>
      <c r="H79" s="31">
        <v>2.1779999999999999</v>
      </c>
      <c r="I79" s="51">
        <v>3460</v>
      </c>
      <c r="J79" s="51">
        <v>2</v>
      </c>
      <c r="K79" s="32">
        <f t="shared" si="16"/>
        <v>15.071759999999999</v>
      </c>
      <c r="L79" s="15"/>
      <c r="M79" s="16">
        <f t="shared" si="17"/>
        <v>376.79399999999998</v>
      </c>
      <c r="N79" s="16">
        <f t="shared" si="18"/>
        <v>331.57871999999998</v>
      </c>
      <c r="O79" s="16">
        <f t="shared" si="19"/>
        <v>331.57871999999998</v>
      </c>
    </row>
    <row r="80" spans="1:15" ht="15.75" customHeight="1" x14ac:dyDescent="0.25">
      <c r="A80" s="48" t="s">
        <v>45</v>
      </c>
      <c r="B80" s="48" t="s">
        <v>46</v>
      </c>
      <c r="C80" s="49" t="s">
        <v>47</v>
      </c>
      <c r="D80" s="49"/>
      <c r="E80" s="30" t="s">
        <v>26</v>
      </c>
      <c r="F80" s="31" t="s">
        <v>50</v>
      </c>
      <c r="G80" s="30"/>
      <c r="H80" s="31">
        <v>0.72199999999999998</v>
      </c>
      <c r="I80" s="52">
        <v>550</v>
      </c>
      <c r="J80" s="52">
        <v>7</v>
      </c>
      <c r="K80" s="32">
        <f t="shared" si="16"/>
        <v>2.7797000000000001</v>
      </c>
      <c r="L80" s="15"/>
      <c r="M80" s="16">
        <f t="shared" si="17"/>
        <v>69.492500000000007</v>
      </c>
      <c r="N80" s="16">
        <f t="shared" si="18"/>
        <v>61.153400000000005</v>
      </c>
      <c r="O80" s="16">
        <f t="shared" si="19"/>
        <v>61.153400000000005</v>
      </c>
    </row>
    <row r="81" spans="1:20" ht="15.75" customHeight="1" x14ac:dyDescent="0.25">
      <c r="I81" s="240" t="s">
        <v>29</v>
      </c>
      <c r="J81" s="241"/>
      <c r="K81" s="35">
        <f>SUM(K76:K80)</f>
        <v>22.382083999999999</v>
      </c>
      <c r="L81" s="36"/>
      <c r="M81" s="37">
        <f>SUM(M76:M80)</f>
        <v>559.5521</v>
      </c>
      <c r="N81" s="37">
        <f>SUM(N76:N80)</f>
        <v>492.40584799999999</v>
      </c>
      <c r="O81" s="37">
        <f>SUM(O76:O80)</f>
        <v>492.40584799999999</v>
      </c>
    </row>
    <row r="82" spans="1:20" ht="15.75" customHeight="1" x14ac:dyDescent="0.25">
      <c r="I82" s="242" t="s">
        <v>30</v>
      </c>
      <c r="J82" s="236"/>
      <c r="K82" s="237"/>
      <c r="L82" s="36"/>
      <c r="M82" s="38">
        <f>M81/K81</f>
        <v>25</v>
      </c>
      <c r="N82" s="38">
        <f>N81/K81</f>
        <v>22</v>
      </c>
      <c r="O82" s="38">
        <f>O81/K81</f>
        <v>22</v>
      </c>
    </row>
    <row r="83" spans="1:20" ht="15.75" customHeight="1" thickBot="1" x14ac:dyDescent="0.3">
      <c r="I83" s="243" t="s">
        <v>31</v>
      </c>
      <c r="J83" s="244"/>
      <c r="K83" s="39">
        <f>K81</f>
        <v>22.382083999999999</v>
      </c>
      <c r="L83" s="40"/>
      <c r="M83" s="41">
        <f>M81</f>
        <v>559.5521</v>
      </c>
      <c r="N83" s="41">
        <f>N81</f>
        <v>492.40584799999999</v>
      </c>
      <c r="O83" s="41">
        <f>O81</f>
        <v>492.40584799999999</v>
      </c>
    </row>
    <row r="84" spans="1:20" ht="15.75" customHeight="1" x14ac:dyDescent="0.25">
      <c r="I84" s="240" t="s">
        <v>32</v>
      </c>
      <c r="J84" s="241"/>
      <c r="K84" s="35">
        <f>K83/0.97</f>
        <v>23.074313402061854</v>
      </c>
      <c r="L84" s="36"/>
      <c r="M84" s="37"/>
      <c r="N84" s="37"/>
      <c r="O84" s="37"/>
    </row>
    <row r="85" spans="1:20" ht="15.75" customHeight="1" x14ac:dyDescent="0.25">
      <c r="I85" s="232" t="s">
        <v>33</v>
      </c>
      <c r="J85" s="233"/>
      <c r="K85" s="234"/>
      <c r="L85" s="36"/>
      <c r="M85" s="42">
        <f>(K84*M82)/0.9</f>
        <v>640.95315005727366</v>
      </c>
      <c r="N85" s="42">
        <f>(K84*N82)/0.9</f>
        <v>564.03877205040089</v>
      </c>
      <c r="O85" s="42">
        <f>(K84*O82)/0.9</f>
        <v>564.03877205040089</v>
      </c>
    </row>
    <row r="86" spans="1:20" ht="15.75" customHeight="1" x14ac:dyDescent="0.25">
      <c r="I86" s="235" t="s">
        <v>34</v>
      </c>
      <c r="J86" s="236"/>
      <c r="K86" s="237"/>
      <c r="L86" s="43"/>
      <c r="M86" s="44">
        <f>M85/3.8</f>
        <v>168.6718815940194</v>
      </c>
      <c r="N86" s="44">
        <f>N85/3.8</f>
        <v>148.4312558027371</v>
      </c>
      <c r="O86" s="44">
        <f>O85/3.9</f>
        <v>144.62532616676947</v>
      </c>
    </row>
    <row r="87" spans="1:20" ht="15.75" customHeight="1" x14ac:dyDescent="0.25"/>
    <row r="88" spans="1:20" ht="15.75" customHeight="1" x14ac:dyDescent="0.25"/>
    <row r="89" spans="1:20" ht="21" x14ac:dyDescent="0.35">
      <c r="A89" s="9" t="s">
        <v>63</v>
      </c>
      <c r="B89" s="10"/>
      <c r="C89" s="10"/>
      <c r="D89" s="11"/>
      <c r="E89" s="10"/>
      <c r="F89" s="10"/>
      <c r="G89" s="10"/>
      <c r="H89" s="10"/>
      <c r="I89" s="10"/>
      <c r="J89" s="4"/>
      <c r="K89" s="4"/>
      <c r="L89" s="4"/>
      <c r="M89" s="4"/>
      <c r="N89" s="4"/>
      <c r="O89" s="4"/>
    </row>
    <row r="90" spans="1:20" ht="15.75" customHeight="1" x14ac:dyDescent="0.25">
      <c r="A90" s="245" t="s">
        <v>1</v>
      </c>
      <c r="B90" s="236"/>
      <c r="C90" s="236"/>
      <c r="D90" s="236"/>
      <c r="E90" s="236"/>
      <c r="F90" s="236"/>
      <c r="G90" s="236"/>
      <c r="H90" s="236"/>
      <c r="I90" s="236"/>
      <c r="J90" s="246"/>
      <c r="K90" s="12"/>
      <c r="L90" s="13"/>
      <c r="M90" s="14" t="s">
        <v>2</v>
      </c>
      <c r="N90" s="14" t="s">
        <v>2</v>
      </c>
      <c r="O90" s="14" t="s">
        <v>2</v>
      </c>
    </row>
    <row r="91" spans="1:20" ht="15.75" customHeight="1" x14ac:dyDescent="0.25">
      <c r="A91" s="230" t="s">
        <v>3</v>
      </c>
      <c r="B91" s="230" t="s">
        <v>4</v>
      </c>
      <c r="C91" s="230" t="s">
        <v>5</v>
      </c>
      <c r="D91" s="230" t="s">
        <v>6</v>
      </c>
      <c r="E91" s="230" t="s">
        <v>7</v>
      </c>
      <c r="F91" s="230" t="s">
        <v>8</v>
      </c>
      <c r="G91" s="230" t="s">
        <v>9</v>
      </c>
      <c r="H91" s="230" t="s">
        <v>10</v>
      </c>
      <c r="I91" s="230" t="s">
        <v>11</v>
      </c>
      <c r="J91" s="238" t="s">
        <v>12</v>
      </c>
      <c r="K91" s="230" t="s">
        <v>13</v>
      </c>
      <c r="L91" s="15"/>
      <c r="M91" s="230" t="s">
        <v>14</v>
      </c>
      <c r="N91" s="230" t="s">
        <v>14</v>
      </c>
      <c r="O91" s="230" t="s">
        <v>14</v>
      </c>
    </row>
    <row r="92" spans="1:20" ht="15.75" customHeight="1" x14ac:dyDescent="0.25">
      <c r="A92" s="231"/>
      <c r="B92" s="231"/>
      <c r="C92" s="231"/>
      <c r="D92" s="231"/>
      <c r="E92" s="231"/>
      <c r="F92" s="231"/>
      <c r="G92" s="231"/>
      <c r="H92" s="231"/>
      <c r="I92" s="231"/>
      <c r="J92" s="239"/>
      <c r="K92" s="231"/>
      <c r="L92" s="15"/>
      <c r="M92" s="231"/>
      <c r="N92" s="231"/>
      <c r="O92" s="231"/>
    </row>
    <row r="93" spans="1:20" ht="15.75" customHeight="1" x14ac:dyDescent="0.25">
      <c r="A93" s="18" t="s">
        <v>36</v>
      </c>
      <c r="B93" s="18" t="s">
        <v>16</v>
      </c>
      <c r="C93" s="19" t="s">
        <v>17</v>
      </c>
      <c r="D93" s="20" t="s">
        <v>37</v>
      </c>
      <c r="E93" s="46" t="s">
        <v>15</v>
      </c>
      <c r="F93" s="21" t="s">
        <v>19</v>
      </c>
      <c r="G93" s="17" t="s">
        <v>20</v>
      </c>
      <c r="H93" s="21">
        <v>1.8540000000000001</v>
      </c>
      <c r="I93" s="22">
        <v>672</v>
      </c>
      <c r="J93" s="22">
        <v>2</v>
      </c>
      <c r="K93" s="23">
        <f t="shared" ref="K93:K99" si="20">SUM(H93*(I93/1000)*J93)</f>
        <v>2.4917760000000002</v>
      </c>
      <c r="L93" s="15"/>
      <c r="M93" s="16">
        <f t="shared" ref="M93:M99" si="21">SUM(H93*(I93/1000)*J93*25)</f>
        <v>62.294400000000003</v>
      </c>
      <c r="N93" s="16">
        <f>SUM(H93*(I93/1000)*J93*22)</f>
        <v>54.819072000000006</v>
      </c>
      <c r="O93" s="16">
        <f>SUM(H93*(I93/1000)*J93*22)</f>
        <v>54.819072000000006</v>
      </c>
      <c r="P93" t="s">
        <v>176</v>
      </c>
      <c r="Q93" s="208">
        <f>(K93+K96+K97+K98+K99)/0.97</f>
        <v>24.830911340206185</v>
      </c>
    </row>
    <row r="94" spans="1:20" ht="15.75" customHeight="1" x14ac:dyDescent="0.25">
      <c r="A94" s="18" t="s">
        <v>65</v>
      </c>
      <c r="B94" s="18">
        <v>614510</v>
      </c>
      <c r="C94" s="19" t="s">
        <v>66</v>
      </c>
      <c r="D94" s="20"/>
      <c r="E94" s="46" t="s">
        <v>15</v>
      </c>
      <c r="F94" s="21">
        <v>17083</v>
      </c>
      <c r="G94" s="17" t="s">
        <v>71</v>
      </c>
      <c r="H94" s="21">
        <v>0.97799999999999998</v>
      </c>
      <c r="I94" s="22">
        <v>1565</v>
      </c>
      <c r="J94" s="22">
        <v>10</v>
      </c>
      <c r="K94" s="23">
        <f t="shared" si="20"/>
        <v>15.3057</v>
      </c>
      <c r="L94" s="15"/>
      <c r="M94" s="16">
        <f t="shared" si="21"/>
        <v>382.64249999999998</v>
      </c>
      <c r="N94" s="16">
        <f t="shared" ref="N94:N99" si="22">SUM(H94*(I94/1000)*J94*22)</f>
        <v>336.72539999999998</v>
      </c>
      <c r="O94" s="16">
        <f t="shared" ref="O94:O99" si="23">SUM(H94*(I94/1000)*J94*22)</f>
        <v>336.72539999999998</v>
      </c>
      <c r="P94" t="s">
        <v>179</v>
      </c>
      <c r="Q94" s="208">
        <f>(K94+K95)/0.97</f>
        <v>19.378558762886598</v>
      </c>
      <c r="S94">
        <f>Q94*22</f>
        <v>426.32829278350516</v>
      </c>
      <c r="T94">
        <f>S94/3.9</f>
        <v>109.31494686756542</v>
      </c>
    </row>
    <row r="95" spans="1:20" ht="30" x14ac:dyDescent="0.25">
      <c r="A95" s="70"/>
      <c r="B95" s="70" t="s">
        <v>69</v>
      </c>
      <c r="C95" s="71" t="s">
        <v>72</v>
      </c>
      <c r="D95" s="72"/>
      <c r="E95" s="73" t="s">
        <v>21</v>
      </c>
      <c r="F95" s="74" t="s">
        <v>70</v>
      </c>
      <c r="G95" s="75" t="s">
        <v>73</v>
      </c>
      <c r="H95" s="74">
        <v>0.82599999999999996</v>
      </c>
      <c r="I95" s="69">
        <v>2113.5</v>
      </c>
      <c r="J95" s="76">
        <v>2</v>
      </c>
      <c r="K95" s="77">
        <f t="shared" si="20"/>
        <v>3.4915020000000001</v>
      </c>
      <c r="L95" s="15"/>
      <c r="M95" s="16">
        <f t="shared" si="21"/>
        <v>87.287549999999996</v>
      </c>
      <c r="N95" s="16">
        <f t="shared" si="22"/>
        <v>76.813044000000005</v>
      </c>
      <c r="O95" s="16">
        <f t="shared" si="23"/>
        <v>76.813044000000005</v>
      </c>
      <c r="Q95">
        <f>SUM(Q93:Q94)</f>
        <v>44.209470103092784</v>
      </c>
    </row>
    <row r="96" spans="1:20" ht="15.75" customHeight="1" x14ac:dyDescent="0.25">
      <c r="A96" s="26" t="s">
        <v>38</v>
      </c>
      <c r="B96" s="26" t="s">
        <v>39</v>
      </c>
      <c r="C96" s="27" t="s">
        <v>40</v>
      </c>
      <c r="D96" s="33" t="s">
        <v>18</v>
      </c>
      <c r="E96" s="47" t="s">
        <v>21</v>
      </c>
      <c r="F96" s="24" t="s">
        <v>41</v>
      </c>
      <c r="G96" s="28" t="s">
        <v>42</v>
      </c>
      <c r="H96" s="24">
        <v>1.554</v>
      </c>
      <c r="I96" s="34">
        <v>160</v>
      </c>
      <c r="J96" s="34">
        <v>4</v>
      </c>
      <c r="K96" s="25">
        <f t="shared" si="20"/>
        <v>0.99456</v>
      </c>
      <c r="L96" s="15"/>
      <c r="M96" s="16">
        <f t="shared" si="21"/>
        <v>24.864000000000001</v>
      </c>
      <c r="N96" s="16">
        <f t="shared" si="22"/>
        <v>21.880320000000001</v>
      </c>
      <c r="O96" s="16">
        <f t="shared" si="23"/>
        <v>21.880320000000001</v>
      </c>
    </row>
    <row r="97" spans="1:17" ht="15.75" customHeight="1" x14ac:dyDescent="0.25">
      <c r="A97" s="26" t="s">
        <v>43</v>
      </c>
      <c r="B97" s="26" t="s">
        <v>22</v>
      </c>
      <c r="C97" s="27" t="s">
        <v>23</v>
      </c>
      <c r="D97" s="27"/>
      <c r="E97" s="47" t="s">
        <v>21</v>
      </c>
      <c r="F97" s="24" t="s">
        <v>24</v>
      </c>
      <c r="G97" s="28" t="s">
        <v>25</v>
      </c>
      <c r="H97" s="24">
        <v>1.554</v>
      </c>
      <c r="I97" s="29">
        <v>168</v>
      </c>
      <c r="J97" s="29">
        <v>4</v>
      </c>
      <c r="K97" s="25">
        <f t="shared" si="20"/>
        <v>1.0442880000000001</v>
      </c>
      <c r="L97" s="15"/>
      <c r="M97" s="16">
        <f t="shared" si="21"/>
        <v>26.107200000000002</v>
      </c>
      <c r="N97" s="16">
        <f t="shared" si="22"/>
        <v>22.974336000000001</v>
      </c>
      <c r="O97" s="16">
        <f t="shared" si="23"/>
        <v>22.974336000000001</v>
      </c>
    </row>
    <row r="98" spans="1:17" ht="15.75" customHeight="1" x14ac:dyDescent="0.25">
      <c r="A98" s="48" t="s">
        <v>44</v>
      </c>
      <c r="B98" s="48" t="s">
        <v>27</v>
      </c>
      <c r="C98" s="49" t="s">
        <v>28</v>
      </c>
      <c r="D98" s="49"/>
      <c r="E98" s="30" t="s">
        <v>26</v>
      </c>
      <c r="F98" s="31" t="s">
        <v>49</v>
      </c>
      <c r="G98" s="50"/>
      <c r="H98" s="31">
        <v>2.1779999999999999</v>
      </c>
      <c r="I98" s="51">
        <v>3760</v>
      </c>
      <c r="J98" s="51">
        <v>2</v>
      </c>
      <c r="K98" s="32">
        <f t="shared" si="20"/>
        <v>16.37856</v>
      </c>
      <c r="L98" s="15"/>
      <c r="M98" s="16">
        <f t="shared" si="21"/>
        <v>409.464</v>
      </c>
      <c r="N98" s="16">
        <f>SUM(H98*(I98/1000)*J98*22)</f>
        <v>360.32832000000002</v>
      </c>
      <c r="O98" s="16">
        <f>SUM(H98*(I98/1000)*J98*22)</f>
        <v>360.32832000000002</v>
      </c>
    </row>
    <row r="99" spans="1:17" ht="15.75" customHeight="1" x14ac:dyDescent="0.25">
      <c r="A99" s="63" t="s">
        <v>45</v>
      </c>
      <c r="B99" s="63" t="s">
        <v>46</v>
      </c>
      <c r="C99" s="64" t="s">
        <v>47</v>
      </c>
      <c r="D99" s="64"/>
      <c r="E99" s="65" t="s">
        <v>26</v>
      </c>
      <c r="F99" s="66" t="s">
        <v>50</v>
      </c>
      <c r="G99" s="65"/>
      <c r="H99" s="66">
        <v>0.72199999999999998</v>
      </c>
      <c r="I99" s="67">
        <v>550</v>
      </c>
      <c r="J99" s="67">
        <v>8</v>
      </c>
      <c r="K99" s="68">
        <f t="shared" si="20"/>
        <v>3.1768000000000001</v>
      </c>
      <c r="L99" s="15"/>
      <c r="M99" s="16">
        <f t="shared" si="21"/>
        <v>79.42</v>
      </c>
      <c r="N99" s="16">
        <f t="shared" si="22"/>
        <v>69.889600000000002</v>
      </c>
      <c r="O99" s="16">
        <f t="shared" si="23"/>
        <v>69.889600000000002</v>
      </c>
    </row>
    <row r="100" spans="1:17" ht="15.75" customHeight="1" x14ac:dyDescent="0.25">
      <c r="I100" s="240" t="s">
        <v>29</v>
      </c>
      <c r="J100" s="241"/>
      <c r="K100" s="35">
        <f>SUM(K93:K99)</f>
        <v>42.883186000000002</v>
      </c>
      <c r="L100" s="36"/>
      <c r="M100" s="37">
        <f>SUM(M93:M99)</f>
        <v>1072.0796500000001</v>
      </c>
      <c r="N100" s="37">
        <f>SUM(N93:N99)</f>
        <v>943.43009200000006</v>
      </c>
      <c r="O100" s="37">
        <f>SUM(O93:O99)</f>
        <v>943.43009200000006</v>
      </c>
    </row>
    <row r="101" spans="1:17" ht="15.75" customHeight="1" x14ac:dyDescent="0.25">
      <c r="I101" s="242" t="s">
        <v>30</v>
      </c>
      <c r="J101" s="236"/>
      <c r="K101" s="237"/>
      <c r="L101" s="36"/>
      <c r="M101" s="38">
        <f>M100/K100</f>
        <v>25.000000000000004</v>
      </c>
      <c r="N101" s="38">
        <f>N100/K100</f>
        <v>22</v>
      </c>
      <c r="O101" s="38">
        <f>O100/K100</f>
        <v>22</v>
      </c>
    </row>
    <row r="102" spans="1:17" ht="15.75" customHeight="1" thickBot="1" x14ac:dyDescent="0.3">
      <c r="I102" s="243" t="s">
        <v>31</v>
      </c>
      <c r="J102" s="244"/>
      <c r="K102" s="39">
        <f>K100</f>
        <v>42.883186000000002</v>
      </c>
      <c r="L102" s="40"/>
      <c r="M102" s="41">
        <f>M100</f>
        <v>1072.0796500000001</v>
      </c>
      <c r="N102" s="41">
        <f>N100</f>
        <v>943.43009200000006</v>
      </c>
      <c r="O102" s="41">
        <f>O100</f>
        <v>943.43009200000006</v>
      </c>
    </row>
    <row r="103" spans="1:17" ht="15.75" customHeight="1" x14ac:dyDescent="0.25">
      <c r="I103" s="240" t="s">
        <v>32</v>
      </c>
      <c r="J103" s="241"/>
      <c r="K103" s="35">
        <f>K102/0.97</f>
        <v>44.209470103092784</v>
      </c>
      <c r="L103" s="36"/>
      <c r="M103" s="37"/>
      <c r="N103" s="37"/>
      <c r="O103" s="37"/>
    </row>
    <row r="104" spans="1:17" ht="15.75" customHeight="1" x14ac:dyDescent="0.25">
      <c r="I104" s="232" t="s">
        <v>33</v>
      </c>
      <c r="J104" s="233"/>
      <c r="K104" s="234"/>
      <c r="L104" s="36"/>
      <c r="M104" s="42">
        <f>(K103*M101)/0.9</f>
        <v>1228.0408361970219</v>
      </c>
      <c r="N104" s="42">
        <f>(K103*N101)/0.9</f>
        <v>1080.6759358533791</v>
      </c>
      <c r="O104" s="42">
        <f>(K103*O101)/0.9</f>
        <v>1080.6759358533791</v>
      </c>
    </row>
    <row r="105" spans="1:17" ht="15.75" customHeight="1" x14ac:dyDescent="0.25">
      <c r="I105" s="235" t="s">
        <v>34</v>
      </c>
      <c r="J105" s="236"/>
      <c r="K105" s="237"/>
      <c r="L105" s="43"/>
      <c r="M105" s="44">
        <f>M104/3.8</f>
        <v>323.16864110447949</v>
      </c>
      <c r="N105" s="44">
        <f>N104/3.8</f>
        <v>284.38840417194189</v>
      </c>
      <c r="O105" s="44">
        <f>O104/3.9</f>
        <v>277.09639380855873</v>
      </c>
    </row>
    <row r="106" spans="1:17" ht="15.75" customHeight="1" x14ac:dyDescent="0.25"/>
    <row r="107" spans="1:17" ht="15.75" customHeight="1" x14ac:dyDescent="0.25"/>
    <row r="108" spans="1:17" ht="21" x14ac:dyDescent="0.35">
      <c r="A108" s="9" t="s">
        <v>67</v>
      </c>
      <c r="B108" s="10"/>
      <c r="C108" s="10"/>
      <c r="D108" s="11"/>
      <c r="E108" s="10"/>
      <c r="F108" s="10"/>
      <c r="G108" s="10"/>
      <c r="H108" s="10"/>
      <c r="I108" s="10"/>
      <c r="J108" s="4"/>
      <c r="K108" s="4"/>
      <c r="L108" s="4"/>
      <c r="M108" s="4"/>
      <c r="N108" s="4"/>
      <c r="O108" s="4"/>
    </row>
    <row r="109" spans="1:17" ht="15.75" customHeight="1" x14ac:dyDescent="0.25">
      <c r="A109" s="245" t="s">
        <v>1</v>
      </c>
      <c r="B109" s="236"/>
      <c r="C109" s="236"/>
      <c r="D109" s="236"/>
      <c r="E109" s="236"/>
      <c r="F109" s="236"/>
      <c r="G109" s="236"/>
      <c r="H109" s="236"/>
      <c r="I109" s="236"/>
      <c r="J109" s="246"/>
      <c r="K109" s="12"/>
      <c r="L109" s="13"/>
      <c r="M109" s="14" t="s">
        <v>2</v>
      </c>
      <c r="N109" s="14" t="s">
        <v>2</v>
      </c>
      <c r="O109" s="14" t="s">
        <v>2</v>
      </c>
    </row>
    <row r="110" spans="1:17" ht="15.75" customHeight="1" x14ac:dyDescent="0.25">
      <c r="A110" s="230" t="s">
        <v>3</v>
      </c>
      <c r="B110" s="230" t="s">
        <v>4</v>
      </c>
      <c r="C110" s="230" t="s">
        <v>5</v>
      </c>
      <c r="D110" s="230" t="s">
        <v>6</v>
      </c>
      <c r="E110" s="230" t="s">
        <v>7</v>
      </c>
      <c r="F110" s="230" t="s">
        <v>8</v>
      </c>
      <c r="G110" s="230" t="s">
        <v>9</v>
      </c>
      <c r="H110" s="230" t="s">
        <v>10</v>
      </c>
      <c r="I110" s="230" t="s">
        <v>11</v>
      </c>
      <c r="J110" s="238" t="s">
        <v>12</v>
      </c>
      <c r="K110" s="230" t="s">
        <v>13</v>
      </c>
      <c r="L110" s="15"/>
      <c r="M110" s="230" t="s">
        <v>14</v>
      </c>
      <c r="N110" s="230" t="s">
        <v>14</v>
      </c>
      <c r="O110" s="230" t="s">
        <v>14</v>
      </c>
    </row>
    <row r="111" spans="1:17" ht="15.75" customHeight="1" x14ac:dyDescent="0.25">
      <c r="A111" s="231"/>
      <c r="B111" s="231"/>
      <c r="C111" s="231"/>
      <c r="D111" s="231"/>
      <c r="E111" s="231"/>
      <c r="F111" s="231"/>
      <c r="G111" s="231"/>
      <c r="H111" s="231"/>
      <c r="I111" s="231"/>
      <c r="J111" s="239"/>
      <c r="K111" s="231"/>
      <c r="L111" s="15"/>
      <c r="M111" s="231"/>
      <c r="N111" s="231"/>
      <c r="O111" s="231"/>
    </row>
    <row r="112" spans="1:17" ht="15.75" customHeight="1" x14ac:dyDescent="0.25">
      <c r="A112" s="18" t="s">
        <v>36</v>
      </c>
      <c r="B112" s="18" t="s">
        <v>16</v>
      </c>
      <c r="C112" s="19" t="s">
        <v>17</v>
      </c>
      <c r="D112" s="20" t="s">
        <v>37</v>
      </c>
      <c r="E112" s="46" t="s">
        <v>15</v>
      </c>
      <c r="F112" s="21" t="s">
        <v>19</v>
      </c>
      <c r="G112" s="17" t="s">
        <v>20</v>
      </c>
      <c r="H112" s="21">
        <v>1.8540000000000001</v>
      </c>
      <c r="I112" s="22">
        <v>672</v>
      </c>
      <c r="J112" s="22">
        <v>2</v>
      </c>
      <c r="K112" s="23">
        <f t="shared" ref="K112:K118" si="24">SUM(H112*(I112/1000)*J112)</f>
        <v>2.4917760000000002</v>
      </c>
      <c r="L112" s="15"/>
      <c r="M112" s="16">
        <f t="shared" ref="M112:M118" si="25">SUM(H112*(I112/1000)*J112*25)</f>
        <v>62.294400000000003</v>
      </c>
      <c r="N112" s="16">
        <f>SUM(H112*(I112/1000)*J112*22)</f>
        <v>54.819072000000006</v>
      </c>
      <c r="O112" s="16">
        <f>SUM(H112*(I112/1000)*J112*22)</f>
        <v>54.819072000000006</v>
      </c>
      <c r="P112" t="s">
        <v>176</v>
      </c>
      <c r="Q112" s="208">
        <f>(K112+K115+K116+K117+K118)/0.97</f>
        <v>26.587509278350517</v>
      </c>
    </row>
    <row r="113" spans="1:17" ht="15.75" customHeight="1" x14ac:dyDescent="0.25">
      <c r="A113" s="18" t="s">
        <v>65</v>
      </c>
      <c r="B113" s="18">
        <v>614510</v>
      </c>
      <c r="C113" s="19" t="s">
        <v>66</v>
      </c>
      <c r="D113" s="20"/>
      <c r="E113" s="46" t="s">
        <v>15</v>
      </c>
      <c r="F113" s="21">
        <v>17083</v>
      </c>
      <c r="G113" s="17" t="s">
        <v>71</v>
      </c>
      <c r="H113" s="21">
        <v>0.97799999999999998</v>
      </c>
      <c r="I113" s="78">
        <v>1865</v>
      </c>
      <c r="J113" s="78">
        <v>10</v>
      </c>
      <c r="K113" s="23">
        <f t="shared" si="24"/>
        <v>18.239699999999999</v>
      </c>
      <c r="L113" s="15"/>
      <c r="M113" s="16">
        <f t="shared" si="25"/>
        <v>455.99249999999995</v>
      </c>
      <c r="N113" s="16">
        <f t="shared" ref="N113:N118" si="26">SUM(H113*(I113/1000)*J113*22)</f>
        <v>401.27339999999998</v>
      </c>
      <c r="O113" s="16">
        <f t="shared" ref="O113:O118" si="27">SUM(H113*(I113/1000)*J113*22)</f>
        <v>401.27339999999998</v>
      </c>
      <c r="P113" t="s">
        <v>179</v>
      </c>
      <c r="Q113" s="208">
        <f>(K113+K114)/0.97</f>
        <v>22.403301030927835</v>
      </c>
    </row>
    <row r="114" spans="1:17" ht="30" x14ac:dyDescent="0.25">
      <c r="A114" s="70"/>
      <c r="B114" s="70" t="s">
        <v>69</v>
      </c>
      <c r="C114" s="71" t="s">
        <v>72</v>
      </c>
      <c r="D114" s="72"/>
      <c r="E114" s="73" t="s">
        <v>21</v>
      </c>
      <c r="F114" s="74" t="s">
        <v>70</v>
      </c>
      <c r="G114" s="75" t="s">
        <v>73</v>
      </c>
      <c r="H114" s="74">
        <v>0.82599999999999996</v>
      </c>
      <c r="I114" s="69">
        <v>2113.5</v>
      </c>
      <c r="J114" s="76">
        <v>2</v>
      </c>
      <c r="K114" s="77">
        <f t="shared" ref="K114" si="28">SUM(H114*(I114/1000)*J114)</f>
        <v>3.4915020000000001</v>
      </c>
      <c r="L114" s="15"/>
      <c r="M114" s="16">
        <f t="shared" ref="M114" si="29">SUM(H114*(I114/1000)*J114*25)</f>
        <v>87.287549999999996</v>
      </c>
      <c r="N114" s="16">
        <f t="shared" si="26"/>
        <v>76.813044000000005</v>
      </c>
      <c r="O114" s="16">
        <f t="shared" si="27"/>
        <v>76.813044000000005</v>
      </c>
      <c r="Q114">
        <f>SUM(Q112:Q113)</f>
        <v>48.990810309278352</v>
      </c>
    </row>
    <row r="115" spans="1:17" ht="15.75" customHeight="1" x14ac:dyDescent="0.25">
      <c r="A115" s="26" t="s">
        <v>38</v>
      </c>
      <c r="B115" s="26" t="s">
        <v>39</v>
      </c>
      <c r="C115" s="27" t="s">
        <v>40</v>
      </c>
      <c r="D115" s="33" t="s">
        <v>18</v>
      </c>
      <c r="E115" s="47" t="s">
        <v>21</v>
      </c>
      <c r="F115" s="24" t="s">
        <v>41</v>
      </c>
      <c r="G115" s="28" t="s">
        <v>42</v>
      </c>
      <c r="H115" s="24">
        <v>1.554</v>
      </c>
      <c r="I115" s="34">
        <v>160</v>
      </c>
      <c r="J115" s="34">
        <v>4</v>
      </c>
      <c r="K115" s="25">
        <f t="shared" si="24"/>
        <v>0.99456</v>
      </c>
      <c r="L115" s="15"/>
      <c r="M115" s="16">
        <f t="shared" si="25"/>
        <v>24.864000000000001</v>
      </c>
      <c r="N115" s="16">
        <f t="shared" si="26"/>
        <v>21.880320000000001</v>
      </c>
      <c r="O115" s="16">
        <f t="shared" si="27"/>
        <v>21.880320000000001</v>
      </c>
    </row>
    <row r="116" spans="1:17" ht="15.75" customHeight="1" x14ac:dyDescent="0.25">
      <c r="A116" s="26" t="s">
        <v>43</v>
      </c>
      <c r="B116" s="26" t="s">
        <v>22</v>
      </c>
      <c r="C116" s="27" t="s">
        <v>23</v>
      </c>
      <c r="D116" s="27"/>
      <c r="E116" s="47" t="s">
        <v>21</v>
      </c>
      <c r="F116" s="24" t="s">
        <v>24</v>
      </c>
      <c r="G116" s="28" t="s">
        <v>25</v>
      </c>
      <c r="H116" s="24">
        <v>1.554</v>
      </c>
      <c r="I116" s="29">
        <v>168</v>
      </c>
      <c r="J116" s="29">
        <v>4</v>
      </c>
      <c r="K116" s="25">
        <f t="shared" si="24"/>
        <v>1.0442880000000001</v>
      </c>
      <c r="L116" s="15"/>
      <c r="M116" s="16">
        <f t="shared" si="25"/>
        <v>26.107200000000002</v>
      </c>
      <c r="N116" s="16">
        <f t="shared" si="26"/>
        <v>22.974336000000001</v>
      </c>
      <c r="O116" s="16">
        <f t="shared" si="27"/>
        <v>22.974336000000001</v>
      </c>
    </row>
    <row r="117" spans="1:17" ht="15.75" customHeight="1" x14ac:dyDescent="0.25">
      <c r="A117" s="48" t="s">
        <v>44</v>
      </c>
      <c r="B117" s="48" t="s">
        <v>27</v>
      </c>
      <c r="C117" s="49" t="s">
        <v>28</v>
      </c>
      <c r="D117" s="49"/>
      <c r="E117" s="30" t="s">
        <v>26</v>
      </c>
      <c r="F117" s="31" t="s">
        <v>49</v>
      </c>
      <c r="G117" s="50"/>
      <c r="H117" s="31">
        <v>2.1779999999999999</v>
      </c>
      <c r="I117" s="51">
        <v>4060</v>
      </c>
      <c r="J117" s="51">
        <v>2</v>
      </c>
      <c r="K117" s="32">
        <f t="shared" si="24"/>
        <v>17.685359999999999</v>
      </c>
      <c r="L117" s="15"/>
      <c r="M117" s="16">
        <f t="shared" si="25"/>
        <v>442.13399999999996</v>
      </c>
      <c r="N117" s="16">
        <f>SUM(H117*(I117/1000)*J117*22)</f>
        <v>389.07792000000001</v>
      </c>
      <c r="O117" s="16">
        <f>SUM(H117*(I117/1000)*J117*22)</f>
        <v>389.07792000000001</v>
      </c>
    </row>
    <row r="118" spans="1:17" ht="15.75" customHeight="1" x14ac:dyDescent="0.25">
      <c r="A118" s="63" t="s">
        <v>45</v>
      </c>
      <c r="B118" s="63" t="s">
        <v>46</v>
      </c>
      <c r="C118" s="64" t="s">
        <v>47</v>
      </c>
      <c r="D118" s="64"/>
      <c r="E118" s="65" t="s">
        <v>26</v>
      </c>
      <c r="F118" s="66" t="s">
        <v>50</v>
      </c>
      <c r="G118" s="65"/>
      <c r="H118" s="66">
        <v>0.72199999999999998</v>
      </c>
      <c r="I118" s="67">
        <v>550</v>
      </c>
      <c r="J118" s="67">
        <v>9</v>
      </c>
      <c r="K118" s="68">
        <f t="shared" si="24"/>
        <v>3.5739000000000001</v>
      </c>
      <c r="L118" s="15"/>
      <c r="M118" s="16">
        <f t="shared" si="25"/>
        <v>89.347499999999997</v>
      </c>
      <c r="N118" s="16">
        <f t="shared" si="26"/>
        <v>78.625799999999998</v>
      </c>
      <c r="O118" s="16">
        <f t="shared" si="27"/>
        <v>78.625799999999998</v>
      </c>
    </row>
    <row r="119" spans="1:17" ht="15.75" customHeight="1" x14ac:dyDescent="0.25">
      <c r="I119" s="240" t="s">
        <v>29</v>
      </c>
      <c r="J119" s="241"/>
      <c r="K119" s="35">
        <f>SUM(K112:K118)</f>
        <v>47.521086000000004</v>
      </c>
      <c r="L119" s="36"/>
      <c r="M119" s="37">
        <f>SUM(M112:M118)</f>
        <v>1188.0271500000001</v>
      </c>
      <c r="N119" s="37">
        <f>SUM(N112:N118)</f>
        <v>1045.463892</v>
      </c>
      <c r="O119" s="37">
        <f>SUM(O112:O118)</f>
        <v>1045.463892</v>
      </c>
    </row>
    <row r="120" spans="1:17" ht="15.75" customHeight="1" x14ac:dyDescent="0.25">
      <c r="I120" s="242" t="s">
        <v>30</v>
      </c>
      <c r="J120" s="236"/>
      <c r="K120" s="237"/>
      <c r="L120" s="36"/>
      <c r="M120" s="38">
        <f>M119/K119</f>
        <v>25</v>
      </c>
      <c r="N120" s="38">
        <f>N119/K119</f>
        <v>21.999999999999996</v>
      </c>
      <c r="O120" s="38">
        <f>O119/K119</f>
        <v>21.999999999999996</v>
      </c>
    </row>
    <row r="121" spans="1:17" ht="15.75" customHeight="1" thickBot="1" x14ac:dyDescent="0.3">
      <c r="I121" s="243" t="s">
        <v>31</v>
      </c>
      <c r="J121" s="244"/>
      <c r="K121" s="39">
        <f>K119</f>
        <v>47.521086000000004</v>
      </c>
      <c r="L121" s="40"/>
      <c r="M121" s="41">
        <f>M119</f>
        <v>1188.0271500000001</v>
      </c>
      <c r="N121" s="41">
        <f>N119</f>
        <v>1045.463892</v>
      </c>
      <c r="O121" s="41">
        <f>O119</f>
        <v>1045.463892</v>
      </c>
    </row>
    <row r="122" spans="1:17" ht="15.75" customHeight="1" x14ac:dyDescent="0.25">
      <c r="I122" s="240" t="s">
        <v>32</v>
      </c>
      <c r="J122" s="241"/>
      <c r="K122" s="35">
        <f>K121/0.97</f>
        <v>48.990810309278359</v>
      </c>
      <c r="L122" s="36"/>
      <c r="M122" s="37"/>
      <c r="N122" s="37"/>
      <c r="O122" s="37"/>
    </row>
    <row r="123" spans="1:17" ht="15.75" customHeight="1" x14ac:dyDescent="0.25">
      <c r="I123" s="232" t="s">
        <v>33</v>
      </c>
      <c r="J123" s="233"/>
      <c r="K123" s="234"/>
      <c r="L123" s="36"/>
      <c r="M123" s="42">
        <f>(K122*M120)/0.9</f>
        <v>1360.8558419243989</v>
      </c>
      <c r="N123" s="42">
        <f>(K122*N120)/0.9</f>
        <v>1197.553140893471</v>
      </c>
      <c r="O123" s="42">
        <f>(K122*O120)/0.9</f>
        <v>1197.553140893471</v>
      </c>
    </row>
    <row r="124" spans="1:17" ht="15.75" customHeight="1" x14ac:dyDescent="0.25">
      <c r="I124" s="235" t="s">
        <v>34</v>
      </c>
      <c r="J124" s="236"/>
      <c r="K124" s="237"/>
      <c r="L124" s="43"/>
      <c r="M124" s="44">
        <f>M123/3.8</f>
        <v>358.11995840115759</v>
      </c>
      <c r="N124" s="44">
        <f>N123/3.8</f>
        <v>315.14556339301868</v>
      </c>
      <c r="O124" s="44">
        <f>O123/3.9</f>
        <v>307.06490792140283</v>
      </c>
    </row>
    <row r="125" spans="1:17" ht="15.75" customHeight="1" x14ac:dyDescent="0.25"/>
    <row r="126" spans="1:17" ht="15.75" customHeight="1" x14ac:dyDescent="0.25"/>
    <row r="127" spans="1:17" ht="21" x14ac:dyDescent="0.35">
      <c r="A127" s="9" t="s">
        <v>68</v>
      </c>
      <c r="B127" s="10"/>
      <c r="C127" s="10"/>
      <c r="D127" s="11"/>
      <c r="E127" s="10"/>
      <c r="F127" s="10"/>
      <c r="G127" s="10"/>
      <c r="H127" s="10"/>
      <c r="I127" s="10"/>
      <c r="J127" s="4"/>
      <c r="K127" s="4"/>
      <c r="L127" s="4"/>
      <c r="M127" s="4"/>
      <c r="N127" s="4"/>
      <c r="O127" s="4"/>
    </row>
    <row r="128" spans="1:17" ht="15.75" customHeight="1" x14ac:dyDescent="0.25">
      <c r="A128" s="245" t="s">
        <v>1</v>
      </c>
      <c r="B128" s="236"/>
      <c r="C128" s="236"/>
      <c r="D128" s="236"/>
      <c r="E128" s="236"/>
      <c r="F128" s="236"/>
      <c r="G128" s="236"/>
      <c r="H128" s="236"/>
      <c r="I128" s="236"/>
      <c r="J128" s="246"/>
      <c r="K128" s="12"/>
      <c r="L128" s="13"/>
      <c r="M128" s="14" t="s">
        <v>2</v>
      </c>
      <c r="N128" s="14" t="s">
        <v>2</v>
      </c>
      <c r="O128" s="14" t="s">
        <v>2</v>
      </c>
    </row>
    <row r="129" spans="1:17" ht="15.75" customHeight="1" x14ac:dyDescent="0.25">
      <c r="A129" s="230" t="s">
        <v>3</v>
      </c>
      <c r="B129" s="230" t="s">
        <v>4</v>
      </c>
      <c r="C129" s="230" t="s">
        <v>5</v>
      </c>
      <c r="D129" s="230" t="s">
        <v>6</v>
      </c>
      <c r="E129" s="230" t="s">
        <v>7</v>
      </c>
      <c r="F129" s="230" t="s">
        <v>8</v>
      </c>
      <c r="G129" s="230" t="s">
        <v>9</v>
      </c>
      <c r="H129" s="230" t="s">
        <v>10</v>
      </c>
      <c r="I129" s="230" t="s">
        <v>11</v>
      </c>
      <c r="J129" s="238" t="s">
        <v>12</v>
      </c>
      <c r="K129" s="230" t="s">
        <v>13</v>
      </c>
      <c r="L129" s="15"/>
      <c r="M129" s="230" t="s">
        <v>14</v>
      </c>
      <c r="N129" s="230" t="s">
        <v>14</v>
      </c>
      <c r="O129" s="230" t="s">
        <v>14</v>
      </c>
    </row>
    <row r="130" spans="1:17" ht="15.75" customHeight="1" x14ac:dyDescent="0.25">
      <c r="A130" s="231"/>
      <c r="B130" s="231"/>
      <c r="C130" s="231"/>
      <c r="D130" s="231"/>
      <c r="E130" s="231"/>
      <c r="F130" s="231"/>
      <c r="G130" s="231"/>
      <c r="H130" s="231"/>
      <c r="I130" s="231"/>
      <c r="J130" s="239"/>
      <c r="K130" s="231"/>
      <c r="L130" s="15"/>
      <c r="M130" s="231"/>
      <c r="N130" s="231"/>
      <c r="O130" s="231"/>
    </row>
    <row r="131" spans="1:17" ht="15.75" customHeight="1" x14ac:dyDescent="0.25">
      <c r="A131" s="18" t="s">
        <v>36</v>
      </c>
      <c r="B131" s="18" t="s">
        <v>16</v>
      </c>
      <c r="C131" s="19" t="s">
        <v>17</v>
      </c>
      <c r="D131" s="20" t="s">
        <v>37</v>
      </c>
      <c r="E131" s="46" t="s">
        <v>15</v>
      </c>
      <c r="F131" s="21" t="s">
        <v>19</v>
      </c>
      <c r="G131" s="17" t="s">
        <v>20</v>
      </c>
      <c r="H131" s="21">
        <v>1.8540000000000001</v>
      </c>
      <c r="I131" s="22">
        <v>672</v>
      </c>
      <c r="J131" s="22">
        <v>2</v>
      </c>
      <c r="K131" s="23">
        <f t="shared" ref="K131:K137" si="30">SUM(H131*(I131/1000)*J131)</f>
        <v>2.4917760000000002</v>
      </c>
      <c r="L131" s="15"/>
      <c r="M131" s="16">
        <f t="shared" ref="M131:M137" si="31">SUM(H131*(I131/1000)*J131*25)</f>
        <v>62.294400000000003</v>
      </c>
      <c r="N131" s="16">
        <f>SUM(H131*(I131/1000)*J131*22)</f>
        <v>54.819072000000006</v>
      </c>
      <c r="O131" s="16">
        <f>SUM(H131*(I131/1000)*J131*22)</f>
        <v>54.819072000000006</v>
      </c>
      <c r="P131" t="s">
        <v>176</v>
      </c>
      <c r="Q131" s="208">
        <f>(K131+K134+K135+K136+K137)/0.97</f>
        <v>28.344107216494848</v>
      </c>
    </row>
    <row r="132" spans="1:17" ht="15.75" customHeight="1" x14ac:dyDescent="0.25">
      <c r="A132" s="18" t="s">
        <v>65</v>
      </c>
      <c r="B132" s="18">
        <v>614510</v>
      </c>
      <c r="C132" s="19" t="s">
        <v>66</v>
      </c>
      <c r="D132" s="20"/>
      <c r="E132" s="46" t="s">
        <v>15</v>
      </c>
      <c r="F132" s="21">
        <v>17083</v>
      </c>
      <c r="G132" s="17" t="s">
        <v>71</v>
      </c>
      <c r="H132" s="21">
        <v>0.97799999999999998</v>
      </c>
      <c r="I132" s="78">
        <v>2165</v>
      </c>
      <c r="J132" s="78">
        <v>10</v>
      </c>
      <c r="K132" s="23">
        <f t="shared" si="30"/>
        <v>21.173700000000004</v>
      </c>
      <c r="L132" s="15"/>
      <c r="M132" s="16">
        <f t="shared" si="31"/>
        <v>529.34250000000009</v>
      </c>
      <c r="N132" s="16">
        <f t="shared" ref="N132:N137" si="32">SUM(H132*(I132/1000)*J132*22)</f>
        <v>465.8214000000001</v>
      </c>
      <c r="O132" s="16">
        <f t="shared" ref="O132:O137" si="33">SUM(H132*(I132/1000)*J132*22)</f>
        <v>465.8214000000001</v>
      </c>
      <c r="P132" t="s">
        <v>179</v>
      </c>
      <c r="Q132" s="208">
        <f>(K132+K133)/0.97</f>
        <v>27.227786597938149</v>
      </c>
    </row>
    <row r="133" spans="1:17" ht="30" x14ac:dyDescent="0.25">
      <c r="A133" s="70"/>
      <c r="B133" s="70" t="s">
        <v>69</v>
      </c>
      <c r="C133" s="71" t="s">
        <v>72</v>
      </c>
      <c r="D133" s="72"/>
      <c r="E133" s="73" t="s">
        <v>21</v>
      </c>
      <c r="F133" s="74" t="s">
        <v>70</v>
      </c>
      <c r="G133" s="75" t="s">
        <v>73</v>
      </c>
      <c r="H133" s="74">
        <v>0.82599999999999996</v>
      </c>
      <c r="I133" s="69">
        <v>2113.5</v>
      </c>
      <c r="J133" s="76">
        <v>3</v>
      </c>
      <c r="K133" s="77">
        <f t="shared" si="30"/>
        <v>5.2372529999999999</v>
      </c>
      <c r="L133" s="15"/>
      <c r="M133" s="16">
        <f t="shared" si="31"/>
        <v>130.93132499999999</v>
      </c>
      <c r="N133" s="16">
        <f t="shared" si="32"/>
        <v>115.219566</v>
      </c>
      <c r="O133" s="16">
        <f t="shared" si="33"/>
        <v>115.219566</v>
      </c>
      <c r="Q133">
        <f>SUM(Q131:Q132)</f>
        <v>55.571893814432997</v>
      </c>
    </row>
    <row r="134" spans="1:17" ht="15.75" customHeight="1" x14ac:dyDescent="0.25">
      <c r="A134" s="26" t="s">
        <v>38</v>
      </c>
      <c r="B134" s="26" t="s">
        <v>39</v>
      </c>
      <c r="C134" s="27" t="s">
        <v>40</v>
      </c>
      <c r="D134" s="33" t="s">
        <v>18</v>
      </c>
      <c r="E134" s="47" t="s">
        <v>21</v>
      </c>
      <c r="F134" s="24" t="s">
        <v>41</v>
      </c>
      <c r="G134" s="28" t="s">
        <v>42</v>
      </c>
      <c r="H134" s="24">
        <v>1.554</v>
      </c>
      <c r="I134" s="34">
        <v>160</v>
      </c>
      <c r="J134" s="34">
        <v>4</v>
      </c>
      <c r="K134" s="25">
        <f t="shared" si="30"/>
        <v>0.99456</v>
      </c>
      <c r="L134" s="15"/>
      <c r="M134" s="16">
        <f t="shared" si="31"/>
        <v>24.864000000000001</v>
      </c>
      <c r="N134" s="16">
        <f t="shared" si="32"/>
        <v>21.880320000000001</v>
      </c>
      <c r="O134" s="16">
        <f t="shared" si="33"/>
        <v>21.880320000000001</v>
      </c>
    </row>
    <row r="135" spans="1:17" ht="15.75" customHeight="1" x14ac:dyDescent="0.25">
      <c r="A135" s="26" t="s">
        <v>43</v>
      </c>
      <c r="B135" s="26" t="s">
        <v>22</v>
      </c>
      <c r="C135" s="27" t="s">
        <v>23</v>
      </c>
      <c r="D135" s="27"/>
      <c r="E135" s="47" t="s">
        <v>21</v>
      </c>
      <c r="F135" s="24" t="s">
        <v>24</v>
      </c>
      <c r="G135" s="28" t="s">
        <v>25</v>
      </c>
      <c r="H135" s="24">
        <v>1.554</v>
      </c>
      <c r="I135" s="29">
        <v>168</v>
      </c>
      <c r="J135" s="29">
        <v>4</v>
      </c>
      <c r="K135" s="25">
        <f t="shared" si="30"/>
        <v>1.0442880000000001</v>
      </c>
      <c r="L135" s="15"/>
      <c r="M135" s="16">
        <f t="shared" si="31"/>
        <v>26.107200000000002</v>
      </c>
      <c r="N135" s="16">
        <f t="shared" si="32"/>
        <v>22.974336000000001</v>
      </c>
      <c r="O135" s="16">
        <f t="shared" si="33"/>
        <v>22.974336000000001</v>
      </c>
    </row>
    <row r="136" spans="1:17" ht="15.75" customHeight="1" x14ac:dyDescent="0.25">
      <c r="A136" s="48" t="s">
        <v>44</v>
      </c>
      <c r="B136" s="48" t="s">
        <v>27</v>
      </c>
      <c r="C136" s="49" t="s">
        <v>28</v>
      </c>
      <c r="D136" s="49"/>
      <c r="E136" s="30" t="s">
        <v>26</v>
      </c>
      <c r="F136" s="31" t="s">
        <v>49</v>
      </c>
      <c r="G136" s="50"/>
      <c r="H136" s="31">
        <v>2.1779999999999999</v>
      </c>
      <c r="I136" s="51">
        <v>4360</v>
      </c>
      <c r="J136" s="51">
        <v>2</v>
      </c>
      <c r="K136" s="32">
        <f t="shared" si="30"/>
        <v>18.992160000000002</v>
      </c>
      <c r="L136" s="15"/>
      <c r="M136" s="16">
        <f t="shared" si="31"/>
        <v>474.80400000000003</v>
      </c>
      <c r="N136" s="16">
        <f>SUM(H136*(I136/1000)*J136*22)</f>
        <v>417.82752000000005</v>
      </c>
      <c r="O136" s="16">
        <f>SUM(H136*(I136/1000)*J136*22)</f>
        <v>417.82752000000005</v>
      </c>
    </row>
    <row r="137" spans="1:17" ht="15.75" customHeight="1" x14ac:dyDescent="0.25">
      <c r="A137" s="63" t="s">
        <v>45</v>
      </c>
      <c r="B137" s="63" t="s">
        <v>46</v>
      </c>
      <c r="C137" s="64" t="s">
        <v>47</v>
      </c>
      <c r="D137" s="64"/>
      <c r="E137" s="65" t="s">
        <v>26</v>
      </c>
      <c r="F137" s="66" t="s">
        <v>50</v>
      </c>
      <c r="G137" s="65"/>
      <c r="H137" s="66">
        <v>0.72199999999999998</v>
      </c>
      <c r="I137" s="67">
        <v>550</v>
      </c>
      <c r="J137" s="67">
        <v>10</v>
      </c>
      <c r="K137" s="68">
        <f t="shared" si="30"/>
        <v>3.9710000000000001</v>
      </c>
      <c r="L137" s="15"/>
      <c r="M137" s="16">
        <f t="shared" si="31"/>
        <v>99.275000000000006</v>
      </c>
      <c r="N137" s="16">
        <f t="shared" si="32"/>
        <v>87.361999999999995</v>
      </c>
      <c r="O137" s="16">
        <f t="shared" si="33"/>
        <v>87.361999999999995</v>
      </c>
    </row>
    <row r="138" spans="1:17" ht="15.75" customHeight="1" x14ac:dyDescent="0.25">
      <c r="I138" s="240" t="s">
        <v>29</v>
      </c>
      <c r="J138" s="241"/>
      <c r="K138" s="35">
        <f>SUM(K131:K137)</f>
        <v>53.904737000000011</v>
      </c>
      <c r="L138" s="36"/>
      <c r="M138" s="37">
        <f>SUM(M131:M137)</f>
        <v>1347.6184250000003</v>
      </c>
      <c r="N138" s="37">
        <f>SUM(N131:N137)</f>
        <v>1185.9042140000001</v>
      </c>
      <c r="O138" s="37">
        <f>SUM(O131:O137)</f>
        <v>1185.9042140000001</v>
      </c>
    </row>
    <row r="139" spans="1:17" ht="15.75" customHeight="1" x14ac:dyDescent="0.25">
      <c r="I139" s="242" t="s">
        <v>30</v>
      </c>
      <c r="J139" s="236"/>
      <c r="K139" s="237"/>
      <c r="L139" s="36"/>
      <c r="M139" s="38">
        <f>M138/K138</f>
        <v>25</v>
      </c>
      <c r="N139" s="38">
        <f>N138/K138</f>
        <v>21.999999999999996</v>
      </c>
      <c r="O139" s="38">
        <f>O138/K138</f>
        <v>21.999999999999996</v>
      </c>
    </row>
    <row r="140" spans="1:17" ht="15.75" customHeight="1" thickBot="1" x14ac:dyDescent="0.3">
      <c r="I140" s="243" t="s">
        <v>31</v>
      </c>
      <c r="J140" s="244"/>
      <c r="K140" s="39">
        <f>K138</f>
        <v>53.904737000000011</v>
      </c>
      <c r="L140" s="40"/>
      <c r="M140" s="41">
        <f>M138</f>
        <v>1347.6184250000003</v>
      </c>
      <c r="N140" s="41">
        <f>N138</f>
        <v>1185.9042140000001</v>
      </c>
      <c r="O140" s="41">
        <f>O138</f>
        <v>1185.9042140000001</v>
      </c>
    </row>
    <row r="141" spans="1:17" ht="15.75" customHeight="1" x14ac:dyDescent="0.25">
      <c r="I141" s="240" t="s">
        <v>32</v>
      </c>
      <c r="J141" s="241"/>
      <c r="K141" s="35">
        <f>K140/0.97</f>
        <v>55.571893814433004</v>
      </c>
      <c r="L141" s="36"/>
      <c r="M141" s="37"/>
      <c r="N141" s="37"/>
      <c r="O141" s="37"/>
    </row>
    <row r="142" spans="1:17" ht="15.75" customHeight="1" x14ac:dyDescent="0.25">
      <c r="I142" s="232" t="s">
        <v>33</v>
      </c>
      <c r="J142" s="233"/>
      <c r="K142" s="234"/>
      <c r="L142" s="36"/>
      <c r="M142" s="42">
        <f>(K141*M139)/0.9</f>
        <v>1543.6637170675835</v>
      </c>
      <c r="N142" s="42">
        <f>(K141*N139)/0.9</f>
        <v>1358.4240710194733</v>
      </c>
      <c r="O142" s="42">
        <f>(K141*O139)/0.9</f>
        <v>1358.4240710194733</v>
      </c>
    </row>
    <row r="143" spans="1:17" ht="15.75" customHeight="1" x14ac:dyDescent="0.25">
      <c r="I143" s="235" t="s">
        <v>34</v>
      </c>
      <c r="J143" s="236"/>
      <c r="K143" s="237"/>
      <c r="L143" s="43"/>
      <c r="M143" s="44">
        <f>M142/3.8</f>
        <v>406.22729396515359</v>
      </c>
      <c r="N143" s="44">
        <f>N142/3.8</f>
        <v>357.48001868933511</v>
      </c>
      <c r="O143" s="44">
        <f>O142/3.9</f>
        <v>348.31386436396753</v>
      </c>
    </row>
    <row r="144" spans="1:17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4.2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28.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168">
    <mergeCell ref="N5:N6"/>
    <mergeCell ref="N23:N24"/>
    <mergeCell ref="N40:N41"/>
    <mergeCell ref="N57:N58"/>
    <mergeCell ref="N74:N75"/>
    <mergeCell ref="N91:N92"/>
    <mergeCell ref="N110:N111"/>
    <mergeCell ref="N129:N130"/>
    <mergeCell ref="I142:K142"/>
    <mergeCell ref="M110:M111"/>
    <mergeCell ref="I119:J119"/>
    <mergeCell ref="I120:K120"/>
    <mergeCell ref="I121:J121"/>
    <mergeCell ref="I122:J122"/>
    <mergeCell ref="I104:K104"/>
    <mergeCell ref="I105:K105"/>
    <mergeCell ref="A109:J109"/>
    <mergeCell ref="A110:A111"/>
    <mergeCell ref="B110:B111"/>
    <mergeCell ref="C110:C111"/>
    <mergeCell ref="D110:D111"/>
    <mergeCell ref="E110:E111"/>
    <mergeCell ref="F110:F111"/>
    <mergeCell ref="G110:G111"/>
    <mergeCell ref="I143:K143"/>
    <mergeCell ref="M129:M130"/>
    <mergeCell ref="I138:J138"/>
    <mergeCell ref="I139:K139"/>
    <mergeCell ref="I140:J140"/>
    <mergeCell ref="I141:J141"/>
    <mergeCell ref="I123:K123"/>
    <mergeCell ref="I124:K124"/>
    <mergeCell ref="A128:J128"/>
    <mergeCell ref="A129:A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H110:H111"/>
    <mergeCell ref="I110:I111"/>
    <mergeCell ref="J110:J111"/>
    <mergeCell ref="K110:K111"/>
    <mergeCell ref="M91:M92"/>
    <mergeCell ref="I100:J100"/>
    <mergeCell ref="I101:K101"/>
    <mergeCell ref="I102:J102"/>
    <mergeCell ref="I103:J103"/>
    <mergeCell ref="I85:K85"/>
    <mergeCell ref="I86:K86"/>
    <mergeCell ref="A90:J90"/>
    <mergeCell ref="A91:A92"/>
    <mergeCell ref="B91:B92"/>
    <mergeCell ref="C91:C92"/>
    <mergeCell ref="D91:D92"/>
    <mergeCell ref="E91:E92"/>
    <mergeCell ref="F91:F92"/>
    <mergeCell ref="G91:G92"/>
    <mergeCell ref="H91:H92"/>
    <mergeCell ref="I91:I92"/>
    <mergeCell ref="J91:J92"/>
    <mergeCell ref="K91:K92"/>
    <mergeCell ref="M74:M75"/>
    <mergeCell ref="I81:J81"/>
    <mergeCell ref="I82:K82"/>
    <mergeCell ref="I83:J83"/>
    <mergeCell ref="I84:J84"/>
    <mergeCell ref="I68:K68"/>
    <mergeCell ref="I69:K69"/>
    <mergeCell ref="A73:J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K74:K75"/>
    <mergeCell ref="M57:M58"/>
    <mergeCell ref="I64:J64"/>
    <mergeCell ref="I65:K65"/>
    <mergeCell ref="I66:J66"/>
    <mergeCell ref="I67:J67"/>
    <mergeCell ref="I51:K51"/>
    <mergeCell ref="I52:K52"/>
    <mergeCell ref="A56:J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I49:J49"/>
    <mergeCell ref="I50:J50"/>
    <mergeCell ref="I33:J33"/>
    <mergeCell ref="I34:K34"/>
    <mergeCell ref="I35:K35"/>
    <mergeCell ref="A39:J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E23:E24"/>
    <mergeCell ref="F23:F24"/>
    <mergeCell ref="G23:G24"/>
    <mergeCell ref="H23:H24"/>
    <mergeCell ref="I23:I24"/>
    <mergeCell ref="J23:J24"/>
    <mergeCell ref="M40:M41"/>
    <mergeCell ref="I47:J47"/>
    <mergeCell ref="I48:K48"/>
    <mergeCell ref="G5:G6"/>
    <mergeCell ref="H5:H6"/>
    <mergeCell ref="I12:J12"/>
    <mergeCell ref="I13:K13"/>
    <mergeCell ref="I14:J14"/>
    <mergeCell ref="M5:M6"/>
    <mergeCell ref="A4:J4"/>
    <mergeCell ref="A5:A6"/>
    <mergeCell ref="B5:B6"/>
    <mergeCell ref="C5:C6"/>
    <mergeCell ref="D5:D6"/>
    <mergeCell ref="E5:E6"/>
    <mergeCell ref="F5:F6"/>
    <mergeCell ref="O5:O6"/>
    <mergeCell ref="O23:O24"/>
    <mergeCell ref="O40:O41"/>
    <mergeCell ref="O57:O58"/>
    <mergeCell ref="O74:O75"/>
    <mergeCell ref="O91:O92"/>
    <mergeCell ref="O110:O111"/>
    <mergeCell ref="O129:O130"/>
    <mergeCell ref="I16:K16"/>
    <mergeCell ref="I17:K17"/>
    <mergeCell ref="I5:I6"/>
    <mergeCell ref="J5:J6"/>
    <mergeCell ref="K5:K6"/>
    <mergeCell ref="I15:J15"/>
    <mergeCell ref="K23:K24"/>
    <mergeCell ref="M23:M24"/>
    <mergeCell ref="I30:J30"/>
    <mergeCell ref="I31:K31"/>
    <mergeCell ref="I32:J32"/>
    <mergeCell ref="A22:J22"/>
    <mergeCell ref="A23:A24"/>
    <mergeCell ref="B23:B24"/>
    <mergeCell ref="C23:C24"/>
    <mergeCell ref="D23:D24"/>
  </mergeCells>
  <pageMargins left="0.7" right="0.7" top="0.75" bottom="0.75" header="0" footer="0"/>
  <pageSetup paperSize="8" scale="3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EC75-87FF-46F3-9651-437FC823ABB0}">
  <dimension ref="A1:L49"/>
  <sheetViews>
    <sheetView workbookViewId="0">
      <selection activeCell="C9" sqref="C9"/>
    </sheetView>
  </sheetViews>
  <sheetFormatPr defaultRowHeight="15" x14ac:dyDescent="0.25"/>
  <cols>
    <col min="1" max="1" width="23.7109375" customWidth="1"/>
    <col min="2" max="2" width="43" bestFit="1" customWidth="1"/>
    <col min="3" max="3" width="17" customWidth="1"/>
    <col min="4" max="4" width="6.85546875" customWidth="1"/>
    <col min="5" max="11" width="15.42578125" customWidth="1"/>
    <col min="12" max="12" width="49.140625" customWidth="1"/>
  </cols>
  <sheetData>
    <row r="1" spans="1:12" ht="26.25" x14ac:dyDescent="0.4">
      <c r="A1" s="79" t="s">
        <v>74</v>
      </c>
    </row>
    <row r="3" spans="1:12" ht="18.75" x14ac:dyDescent="0.3">
      <c r="A3" s="80" t="s">
        <v>115</v>
      </c>
      <c r="B3" s="81"/>
      <c r="D3" s="82"/>
    </row>
    <row r="4" spans="1:12" x14ac:dyDescent="0.25">
      <c r="A4" s="251" t="s">
        <v>75</v>
      </c>
      <c r="B4" s="251" t="s">
        <v>76</v>
      </c>
      <c r="C4" s="251" t="s">
        <v>77</v>
      </c>
      <c r="D4" s="251" t="s">
        <v>78</v>
      </c>
      <c r="E4" s="227" t="s">
        <v>79</v>
      </c>
      <c r="F4" s="227" t="s">
        <v>80</v>
      </c>
      <c r="G4" s="228" t="s">
        <v>81</v>
      </c>
      <c r="H4" s="218" t="s">
        <v>82</v>
      </c>
      <c r="I4" s="249" t="s">
        <v>83</v>
      </c>
      <c r="J4" s="250"/>
      <c r="K4" s="58" t="s">
        <v>84</v>
      </c>
      <c r="L4" s="227" t="s">
        <v>85</v>
      </c>
    </row>
    <row r="5" spans="1:12" ht="30" x14ac:dyDescent="0.25">
      <c r="A5" s="223"/>
      <c r="B5" s="223"/>
      <c r="C5" s="223"/>
      <c r="D5" s="223"/>
      <c r="E5" s="218"/>
      <c r="F5" s="218"/>
      <c r="G5" s="247"/>
      <c r="H5" s="248"/>
      <c r="I5" s="83" t="s">
        <v>86</v>
      </c>
      <c r="J5" s="84" t="s">
        <v>87</v>
      </c>
      <c r="K5" s="83" t="s">
        <v>88</v>
      </c>
      <c r="L5" s="218"/>
    </row>
    <row r="6" spans="1:12" x14ac:dyDescent="0.25">
      <c r="A6" s="85" t="s">
        <v>89</v>
      </c>
      <c r="B6" s="85"/>
      <c r="C6" s="85"/>
      <c r="D6" s="86"/>
      <c r="E6" s="85"/>
      <c r="F6" s="85"/>
      <c r="G6" s="85"/>
      <c r="H6" s="85"/>
      <c r="I6" s="85"/>
      <c r="J6" s="85"/>
      <c r="K6" s="85"/>
      <c r="L6" s="87"/>
    </row>
    <row r="7" spans="1:12" ht="52.5" customHeight="1" x14ac:dyDescent="0.25">
      <c r="A7" s="88"/>
      <c r="B7" s="121" t="s">
        <v>116</v>
      </c>
      <c r="C7" s="98">
        <v>25</v>
      </c>
      <c r="D7" s="91">
        <v>1</v>
      </c>
      <c r="E7" s="92"/>
      <c r="F7" s="92"/>
      <c r="G7" s="93">
        <f t="shared" ref="G7" si="0">C7*1.1</f>
        <v>27.500000000000004</v>
      </c>
      <c r="H7" s="94">
        <f t="shared" ref="H7:H10" si="1">G7-C7</f>
        <v>2.5000000000000036</v>
      </c>
      <c r="I7" s="94">
        <f t="shared" ref="I7" si="2">H7*0.7</f>
        <v>1.7500000000000024</v>
      </c>
      <c r="J7" s="95">
        <f t="shared" ref="J7" si="3">C7+I7</f>
        <v>26.750000000000004</v>
      </c>
      <c r="K7" s="94">
        <f t="shared" ref="K7" si="4">H7*0.3</f>
        <v>0.750000000000001</v>
      </c>
      <c r="L7" s="96"/>
    </row>
    <row r="8" spans="1:12" x14ac:dyDescent="0.25">
      <c r="A8" s="85" t="s">
        <v>131</v>
      </c>
      <c r="B8" s="85"/>
      <c r="C8" s="85"/>
      <c r="D8" s="86"/>
      <c r="E8" s="85"/>
      <c r="F8" s="85"/>
      <c r="G8" s="85"/>
      <c r="H8" s="85"/>
      <c r="I8" s="85"/>
      <c r="J8" s="85"/>
      <c r="K8" s="85"/>
      <c r="L8" s="87"/>
    </row>
    <row r="9" spans="1:12" x14ac:dyDescent="0.25">
      <c r="A9" s="62"/>
      <c r="B9" s="135" t="s">
        <v>127</v>
      </c>
      <c r="C9" s="98">
        <v>100</v>
      </c>
      <c r="D9" s="91">
        <v>1</v>
      </c>
      <c r="E9" s="92"/>
      <c r="F9" s="92"/>
      <c r="G9" s="99">
        <f>C9*1.1</f>
        <v>110.00000000000001</v>
      </c>
      <c r="H9" s="94">
        <f t="shared" si="1"/>
        <v>10.000000000000014</v>
      </c>
      <c r="I9" s="94">
        <f t="shared" ref="I9:I10" si="5">H9*0.7</f>
        <v>7.0000000000000098</v>
      </c>
      <c r="J9" s="95">
        <f t="shared" ref="J9:J10" si="6">C9+I9</f>
        <v>107.00000000000001</v>
      </c>
      <c r="K9" s="94">
        <f t="shared" ref="K9:K10" si="7">H9*0.3</f>
        <v>3.000000000000004</v>
      </c>
      <c r="L9" s="100"/>
    </row>
    <row r="10" spans="1:12" x14ac:dyDescent="0.25">
      <c r="A10" s="62"/>
      <c r="B10" s="97" t="s">
        <v>90</v>
      </c>
      <c r="C10" s="98">
        <v>30</v>
      </c>
      <c r="D10" s="91">
        <v>1</v>
      </c>
      <c r="E10" s="92"/>
      <c r="F10" s="92"/>
      <c r="G10" s="99">
        <f t="shared" ref="G10" si="8">C10*1.1</f>
        <v>33</v>
      </c>
      <c r="H10" s="94">
        <f t="shared" si="1"/>
        <v>3</v>
      </c>
      <c r="I10" s="94">
        <f t="shared" si="5"/>
        <v>2.0999999999999996</v>
      </c>
      <c r="J10" s="95">
        <f t="shared" si="6"/>
        <v>32.1</v>
      </c>
      <c r="K10" s="94">
        <f t="shared" si="7"/>
        <v>0.89999999999999991</v>
      </c>
      <c r="L10" s="100"/>
    </row>
    <row r="11" spans="1:12" x14ac:dyDescent="0.25">
      <c r="A11" s="85" t="s">
        <v>91</v>
      </c>
      <c r="B11" s="85"/>
      <c r="C11" s="85"/>
      <c r="D11" s="86"/>
      <c r="E11" s="85"/>
      <c r="F11" s="85"/>
      <c r="G11" s="85"/>
      <c r="H11" s="85"/>
      <c r="I11" s="85"/>
      <c r="J11" s="85"/>
      <c r="K11" s="85"/>
      <c r="L11" s="87"/>
    </row>
    <row r="12" spans="1:12" x14ac:dyDescent="0.25">
      <c r="A12" s="62"/>
      <c r="B12" s="136" t="s">
        <v>92</v>
      </c>
      <c r="C12" s="102">
        <v>5</v>
      </c>
      <c r="D12" s="88">
        <v>1</v>
      </c>
      <c r="E12" s="59"/>
      <c r="F12" s="59"/>
      <c r="G12" s="94">
        <f t="shared" ref="G12" si="9">C12*1.1</f>
        <v>5.5</v>
      </c>
      <c r="H12" s="94">
        <f t="shared" ref="H12" si="10">G12-C12</f>
        <v>0.5</v>
      </c>
      <c r="I12" s="94">
        <f t="shared" ref="I12" si="11">H12*0.7</f>
        <v>0.35</v>
      </c>
      <c r="J12" s="95">
        <f>C12+I12</f>
        <v>5.35</v>
      </c>
      <c r="K12" s="94">
        <f>H12*0.3</f>
        <v>0.15</v>
      </c>
      <c r="L12" s="62"/>
    </row>
    <row r="13" spans="1:12" x14ac:dyDescent="0.25">
      <c r="A13" s="85" t="s">
        <v>93</v>
      </c>
      <c r="B13" s="85"/>
      <c r="C13" s="85"/>
      <c r="D13" s="86"/>
      <c r="E13" s="85"/>
      <c r="F13" s="85"/>
      <c r="G13" s="85"/>
      <c r="H13" s="85"/>
      <c r="I13" s="85"/>
      <c r="J13" s="85"/>
      <c r="K13" s="85"/>
      <c r="L13" s="87"/>
    </row>
    <row r="14" spans="1:12" ht="45" customHeight="1" x14ac:dyDescent="0.25">
      <c r="A14" s="88"/>
      <c r="B14" s="89" t="s">
        <v>94</v>
      </c>
      <c r="C14" s="90">
        <v>0.4</v>
      </c>
      <c r="D14" s="91">
        <v>1</v>
      </c>
      <c r="E14" s="92">
        <v>0.31</v>
      </c>
      <c r="F14" s="92">
        <v>0.3</v>
      </c>
      <c r="G14" s="93">
        <f>F14*4.3</f>
        <v>1.2899999999999998</v>
      </c>
      <c r="H14" s="94">
        <f t="shared" ref="H14:H15" si="12">G14-C14</f>
        <v>0.88999999999999979</v>
      </c>
      <c r="I14" s="103">
        <v>0.3</v>
      </c>
      <c r="J14" s="104">
        <v>0.3</v>
      </c>
      <c r="K14" s="103">
        <v>0.59</v>
      </c>
      <c r="L14" s="105" t="s">
        <v>95</v>
      </c>
    </row>
    <row r="15" spans="1:12" ht="45" customHeight="1" x14ac:dyDescent="0.25">
      <c r="A15" s="88"/>
      <c r="B15" s="89" t="s">
        <v>96</v>
      </c>
      <c r="C15" s="90">
        <v>0.14000000000000001</v>
      </c>
      <c r="D15" s="91">
        <v>1</v>
      </c>
      <c r="E15" s="92"/>
      <c r="F15" s="92">
        <v>0.25</v>
      </c>
      <c r="G15" s="93">
        <f>F15*4.3</f>
        <v>1.075</v>
      </c>
      <c r="H15" s="94">
        <f t="shared" si="12"/>
        <v>0.93499999999999994</v>
      </c>
      <c r="I15" s="94">
        <f t="shared" ref="I15" si="13">H15*0.7</f>
        <v>0.65449999999999997</v>
      </c>
      <c r="J15" s="95">
        <f t="shared" ref="J15" si="14">C15+I15</f>
        <v>0.79449999999999998</v>
      </c>
      <c r="K15" s="94">
        <f>H15*0.3</f>
        <v>0.28049999999999997</v>
      </c>
      <c r="L15" s="96" t="s">
        <v>97</v>
      </c>
    </row>
    <row r="16" spans="1:12" ht="45" customHeight="1" x14ac:dyDescent="0.25">
      <c r="A16" s="88"/>
      <c r="B16" s="121" t="s">
        <v>128</v>
      </c>
      <c r="C16" s="90">
        <v>1</v>
      </c>
      <c r="D16" s="91">
        <v>1</v>
      </c>
      <c r="E16" s="92"/>
      <c r="F16" s="92"/>
      <c r="G16" s="93">
        <f>C16/0.9</f>
        <v>1.1111111111111112</v>
      </c>
      <c r="H16" s="99">
        <f>G16-C16</f>
        <v>0.11111111111111116</v>
      </c>
      <c r="I16" s="94">
        <f>H16*0.5</f>
        <v>5.555555555555558E-2</v>
      </c>
      <c r="J16" s="95">
        <f t="shared" ref="J16" si="15">C16+I16</f>
        <v>1.0555555555555556</v>
      </c>
      <c r="K16" s="94">
        <f>H16*0.5</f>
        <v>5.555555555555558E-2</v>
      </c>
      <c r="L16" s="96"/>
    </row>
    <row r="19" spans="1:12" ht="18.75" x14ac:dyDescent="0.3">
      <c r="A19" s="80" t="s">
        <v>117</v>
      </c>
      <c r="B19" s="81"/>
      <c r="D19" s="82"/>
    </row>
    <row r="20" spans="1:12" x14ac:dyDescent="0.25">
      <c r="A20" s="251" t="s">
        <v>75</v>
      </c>
      <c r="B20" s="251" t="s">
        <v>76</v>
      </c>
      <c r="C20" s="251" t="s">
        <v>77</v>
      </c>
      <c r="D20" s="251" t="s">
        <v>78</v>
      </c>
      <c r="E20" s="227" t="s">
        <v>79</v>
      </c>
      <c r="F20" s="227" t="s">
        <v>80</v>
      </c>
      <c r="G20" s="228" t="s">
        <v>81</v>
      </c>
      <c r="H20" s="218" t="s">
        <v>82</v>
      </c>
      <c r="I20" s="249" t="s">
        <v>83</v>
      </c>
      <c r="J20" s="250"/>
      <c r="K20" s="58" t="s">
        <v>84</v>
      </c>
      <c r="L20" s="227" t="s">
        <v>85</v>
      </c>
    </row>
    <row r="21" spans="1:12" ht="30" x14ac:dyDescent="0.25">
      <c r="A21" s="223"/>
      <c r="B21" s="223"/>
      <c r="C21" s="223"/>
      <c r="D21" s="223"/>
      <c r="E21" s="218"/>
      <c r="F21" s="218"/>
      <c r="G21" s="247"/>
      <c r="H21" s="248"/>
      <c r="I21" s="83" t="s">
        <v>98</v>
      </c>
      <c r="J21" s="84" t="s">
        <v>87</v>
      </c>
      <c r="K21" s="83" t="s">
        <v>99</v>
      </c>
      <c r="L21" s="218"/>
    </row>
    <row r="22" spans="1:12" x14ac:dyDescent="0.25">
      <c r="A22" s="85" t="s">
        <v>89</v>
      </c>
      <c r="B22" s="85"/>
      <c r="C22" s="85"/>
      <c r="D22" s="86"/>
      <c r="E22" s="85"/>
      <c r="F22" s="85"/>
      <c r="G22" s="85"/>
      <c r="H22" s="85"/>
      <c r="I22" s="85"/>
      <c r="J22" s="85"/>
      <c r="K22" s="85"/>
      <c r="L22" s="87"/>
    </row>
    <row r="23" spans="1:12" ht="37.5" customHeight="1" x14ac:dyDescent="0.25">
      <c r="A23" s="88"/>
      <c r="B23" s="121" t="s">
        <v>116</v>
      </c>
      <c r="C23" s="90">
        <v>25</v>
      </c>
      <c r="D23" s="91">
        <v>1</v>
      </c>
      <c r="E23" s="92"/>
      <c r="F23" s="92"/>
      <c r="G23" s="93">
        <f t="shared" ref="G23" si="16">C23*1.1</f>
        <v>27.500000000000004</v>
      </c>
      <c r="H23" s="94">
        <f t="shared" ref="H23" si="17">G23-C23</f>
        <v>2.5000000000000036</v>
      </c>
      <c r="I23" s="94">
        <f>H23*0.6</f>
        <v>1.500000000000002</v>
      </c>
      <c r="J23" s="95">
        <f t="shared" ref="J23" si="18">C23+I23</f>
        <v>26.500000000000004</v>
      </c>
      <c r="K23" s="94">
        <f>H23*0.4</f>
        <v>1.0000000000000016</v>
      </c>
      <c r="L23" s="96"/>
    </row>
    <row r="24" spans="1:12" x14ac:dyDescent="0.25">
      <c r="A24" s="85" t="s">
        <v>131</v>
      </c>
      <c r="B24" s="85"/>
      <c r="C24" s="85"/>
      <c r="D24" s="86"/>
      <c r="E24" s="85"/>
      <c r="F24" s="85"/>
      <c r="G24" s="85"/>
      <c r="H24" s="85"/>
      <c r="I24" s="85"/>
      <c r="J24" s="85"/>
      <c r="K24" s="85"/>
      <c r="L24" s="87"/>
    </row>
    <row r="25" spans="1:12" x14ac:dyDescent="0.25">
      <c r="A25" s="62"/>
      <c r="B25" s="135" t="s">
        <v>127</v>
      </c>
      <c r="C25" s="98">
        <v>100</v>
      </c>
      <c r="D25" s="91">
        <v>1</v>
      </c>
      <c r="E25" s="92"/>
      <c r="F25" s="92"/>
      <c r="G25" s="99">
        <f>C25*1.1</f>
        <v>110.00000000000001</v>
      </c>
      <c r="H25" s="94">
        <f t="shared" ref="H25:H26" si="19">G25-C25</f>
        <v>10.000000000000014</v>
      </c>
      <c r="I25" s="94">
        <f t="shared" ref="I25:I26" si="20">H25*0.6</f>
        <v>6.000000000000008</v>
      </c>
      <c r="J25" s="95">
        <f t="shared" ref="J25:J26" si="21">C25+I25</f>
        <v>106.00000000000001</v>
      </c>
      <c r="K25" s="94">
        <f t="shared" ref="K25:K26" si="22">H25*0.4</f>
        <v>4.0000000000000062</v>
      </c>
      <c r="L25" s="100"/>
    </row>
    <row r="26" spans="1:12" x14ac:dyDescent="0.25">
      <c r="A26" s="62"/>
      <c r="B26" s="97" t="s">
        <v>90</v>
      </c>
      <c r="C26" s="98">
        <v>30</v>
      </c>
      <c r="D26" s="91">
        <v>1</v>
      </c>
      <c r="E26" s="92"/>
      <c r="F26" s="92"/>
      <c r="G26" s="99">
        <f t="shared" ref="G26" si="23">C26*1.1</f>
        <v>33</v>
      </c>
      <c r="H26" s="94">
        <f t="shared" si="19"/>
        <v>3</v>
      </c>
      <c r="I26" s="94">
        <f t="shared" si="20"/>
        <v>1.7999999999999998</v>
      </c>
      <c r="J26" s="95">
        <f t="shared" si="21"/>
        <v>31.8</v>
      </c>
      <c r="K26" s="94">
        <f t="shared" si="22"/>
        <v>1.2000000000000002</v>
      </c>
      <c r="L26" s="100"/>
    </row>
    <row r="27" spans="1:12" x14ac:dyDescent="0.25">
      <c r="A27" s="85" t="s">
        <v>91</v>
      </c>
      <c r="B27" s="85"/>
      <c r="C27" s="85"/>
      <c r="D27" s="86"/>
      <c r="E27" s="85"/>
      <c r="F27" s="85"/>
      <c r="G27" s="85"/>
      <c r="H27" s="85"/>
      <c r="I27" s="85"/>
      <c r="J27" s="85"/>
      <c r="K27" s="85"/>
      <c r="L27" s="87"/>
    </row>
    <row r="28" spans="1:12" x14ac:dyDescent="0.25">
      <c r="A28" s="62"/>
      <c r="B28" s="101" t="s">
        <v>92</v>
      </c>
      <c r="C28" s="102">
        <v>5</v>
      </c>
      <c r="D28" s="88">
        <v>1</v>
      </c>
      <c r="E28" s="59"/>
      <c r="F28" s="59"/>
      <c r="G28" s="99">
        <f t="shared" ref="G28" si="24">C28*1.1</f>
        <v>5.5</v>
      </c>
      <c r="H28" s="94">
        <f t="shared" ref="H28" si="25">G28-C28</f>
        <v>0.5</v>
      </c>
      <c r="I28" s="94">
        <f t="shared" ref="I28" si="26">H28*0.7</f>
        <v>0.35</v>
      </c>
      <c r="J28" s="95">
        <f t="shared" ref="J28" si="27">C28+I28</f>
        <v>5.35</v>
      </c>
      <c r="K28" s="94">
        <f>H28*0.4</f>
        <v>0.2</v>
      </c>
      <c r="L28" s="62"/>
    </row>
    <row r="29" spans="1:12" x14ac:dyDescent="0.25">
      <c r="A29" s="85" t="s">
        <v>93</v>
      </c>
      <c r="B29" s="85"/>
      <c r="C29" s="85"/>
      <c r="D29" s="86"/>
      <c r="E29" s="85"/>
      <c r="F29" s="85"/>
      <c r="G29" s="85"/>
      <c r="H29" s="85"/>
      <c r="I29" s="85"/>
      <c r="J29" s="85"/>
      <c r="K29" s="85"/>
      <c r="L29" s="87"/>
    </row>
    <row r="30" spans="1:12" ht="45" customHeight="1" x14ac:dyDescent="0.25">
      <c r="A30" s="88"/>
      <c r="B30" s="89" t="s">
        <v>94</v>
      </c>
      <c r="C30" s="90">
        <v>0.4</v>
      </c>
      <c r="D30" s="91">
        <v>1</v>
      </c>
      <c r="E30" s="92">
        <v>0.31</v>
      </c>
      <c r="F30" s="92">
        <v>0.3</v>
      </c>
      <c r="G30" s="93">
        <f>F30*4.3</f>
        <v>1.2899999999999998</v>
      </c>
      <c r="H30" s="94">
        <f t="shared" ref="H30:H31" si="28">G30-C30</f>
        <v>0.88999999999999979</v>
      </c>
      <c r="I30" s="103">
        <v>0.3</v>
      </c>
      <c r="J30" s="104">
        <v>0.3</v>
      </c>
      <c r="K30" s="103">
        <v>0.59</v>
      </c>
      <c r="L30" s="105" t="s">
        <v>95</v>
      </c>
    </row>
    <row r="31" spans="1:12" ht="45" customHeight="1" x14ac:dyDescent="0.25">
      <c r="A31" s="88"/>
      <c r="B31" s="89" t="s">
        <v>96</v>
      </c>
      <c r="C31" s="90">
        <v>0.14000000000000001</v>
      </c>
      <c r="D31" s="91">
        <v>1</v>
      </c>
      <c r="E31" s="92"/>
      <c r="F31" s="92">
        <v>0.25</v>
      </c>
      <c r="G31" s="93">
        <f>F31*4.3</f>
        <v>1.075</v>
      </c>
      <c r="H31" s="94">
        <f t="shared" si="28"/>
        <v>0.93499999999999994</v>
      </c>
      <c r="I31" s="94">
        <f>H31*0.6</f>
        <v>0.56099999999999994</v>
      </c>
      <c r="J31" s="95">
        <f t="shared" ref="J31" si="29">C31+I31</f>
        <v>0.70099999999999996</v>
      </c>
      <c r="K31" s="94">
        <f>H31*0.4</f>
        <v>0.374</v>
      </c>
      <c r="L31" s="96" t="s">
        <v>97</v>
      </c>
    </row>
    <row r="32" spans="1:12" ht="45" customHeight="1" x14ac:dyDescent="0.25">
      <c r="A32" s="88"/>
      <c r="B32" s="121" t="s">
        <v>128</v>
      </c>
      <c r="C32" s="90">
        <v>1</v>
      </c>
      <c r="D32" s="91">
        <v>1</v>
      </c>
      <c r="E32" s="92"/>
      <c r="F32" s="92"/>
      <c r="G32" s="93">
        <f>C32/0.9</f>
        <v>1.1111111111111112</v>
      </c>
      <c r="H32" s="99">
        <f>G32-C32</f>
        <v>0.11111111111111116</v>
      </c>
      <c r="I32" s="94">
        <f>H32*0.6</f>
        <v>6.6666666666666693E-2</v>
      </c>
      <c r="J32" s="95">
        <f t="shared" ref="J32" si="30">C32+I32</f>
        <v>1.0666666666666667</v>
      </c>
      <c r="K32" s="94">
        <f>H32*0.4</f>
        <v>4.4444444444444467E-2</v>
      </c>
      <c r="L32" s="96"/>
    </row>
    <row r="34" spans="1:11" ht="18.75" x14ac:dyDescent="0.3">
      <c r="A34" s="80" t="s">
        <v>100</v>
      </c>
      <c r="B34" s="106"/>
      <c r="C34" s="107"/>
      <c r="D34" s="108"/>
      <c r="E34" s="109"/>
      <c r="F34" s="109"/>
      <c r="G34" s="107"/>
      <c r="H34" s="107"/>
      <c r="I34" s="107"/>
      <c r="J34" s="110"/>
      <c r="K34" s="107"/>
    </row>
    <row r="35" spans="1:11" x14ac:dyDescent="0.25">
      <c r="A35" s="251" t="s">
        <v>75</v>
      </c>
      <c r="B35" s="251" t="s">
        <v>76</v>
      </c>
      <c r="C35" s="251" t="s">
        <v>77</v>
      </c>
      <c r="D35" s="251" t="s">
        <v>78</v>
      </c>
      <c r="E35" s="227" t="s">
        <v>101</v>
      </c>
    </row>
    <row r="36" spans="1:11" x14ac:dyDescent="0.25">
      <c r="A36" s="223"/>
      <c r="B36" s="223"/>
      <c r="C36" s="223"/>
      <c r="D36" s="223"/>
      <c r="E36" s="218"/>
    </row>
    <row r="37" spans="1:11" x14ac:dyDescent="0.25">
      <c r="A37" s="111" t="s">
        <v>102</v>
      </c>
      <c r="B37" s="85"/>
      <c r="C37" s="85"/>
      <c r="D37" s="86"/>
      <c r="E37" s="87"/>
      <c r="F37" t="s">
        <v>103</v>
      </c>
    </row>
    <row r="38" spans="1:11" x14ac:dyDescent="0.25">
      <c r="A38" s="100"/>
      <c r="B38" s="112" t="s">
        <v>104</v>
      </c>
      <c r="C38" s="99">
        <f>(2.2+(2.2*0.2))*4</f>
        <v>10.56</v>
      </c>
      <c r="D38" s="91">
        <v>1</v>
      </c>
      <c r="E38" s="99">
        <f>C38</f>
        <v>10.56</v>
      </c>
    </row>
    <row r="39" spans="1:11" x14ac:dyDescent="0.25">
      <c r="A39" s="62"/>
      <c r="B39" s="101" t="s">
        <v>105</v>
      </c>
      <c r="C39" s="94">
        <f>2.5+(2.5*0.2)</f>
        <v>3</v>
      </c>
      <c r="D39" s="88">
        <v>1</v>
      </c>
      <c r="E39" s="99">
        <v>0</v>
      </c>
    </row>
    <row r="40" spans="1:11" x14ac:dyDescent="0.25">
      <c r="A40" s="252" t="s">
        <v>106</v>
      </c>
      <c r="B40" s="253"/>
      <c r="C40" s="253"/>
      <c r="D40" s="254"/>
      <c r="E40" s="114">
        <f>SUM(E38:E39)</f>
        <v>10.56</v>
      </c>
    </row>
    <row r="41" spans="1:11" x14ac:dyDescent="0.25">
      <c r="A41" s="111" t="s">
        <v>107</v>
      </c>
      <c r="B41" s="85"/>
      <c r="C41" s="85"/>
      <c r="D41" s="86"/>
      <c r="E41" s="115"/>
      <c r="F41" t="s">
        <v>108</v>
      </c>
    </row>
    <row r="42" spans="1:11" x14ac:dyDescent="0.25">
      <c r="A42" s="100"/>
      <c r="B42" s="112" t="s">
        <v>109</v>
      </c>
      <c r="C42" s="99">
        <f>(0.75+(0.75*0.15))+(0.15+(0.15*0.15))</f>
        <v>1.0350000000000001</v>
      </c>
      <c r="D42" s="91">
        <v>1</v>
      </c>
      <c r="E42" s="99">
        <f>C42</f>
        <v>1.0350000000000001</v>
      </c>
    </row>
    <row r="43" spans="1:11" x14ac:dyDescent="0.25">
      <c r="A43" s="62"/>
      <c r="B43" s="101" t="s">
        <v>110</v>
      </c>
      <c r="C43" s="94">
        <f>(4.4+(4.4*0.15))</f>
        <v>5.0600000000000005</v>
      </c>
      <c r="D43" s="88">
        <v>1</v>
      </c>
      <c r="E43" s="99">
        <f t="shared" ref="E43:E45" si="31">C43</f>
        <v>5.0600000000000005</v>
      </c>
    </row>
    <row r="44" spans="1:11" x14ac:dyDescent="0.25">
      <c r="A44" s="62"/>
      <c r="B44" s="101" t="s">
        <v>111</v>
      </c>
      <c r="C44" s="94">
        <f>((0.23+0.84+10.56)+((0.23+0.84+10.56)*0.15))</f>
        <v>13.374500000000001</v>
      </c>
      <c r="D44" s="88">
        <v>1</v>
      </c>
      <c r="E44" s="99">
        <f t="shared" si="31"/>
        <v>13.374500000000001</v>
      </c>
    </row>
    <row r="45" spans="1:11" x14ac:dyDescent="0.25">
      <c r="A45" s="116"/>
      <c r="B45" s="117" t="s">
        <v>112</v>
      </c>
      <c r="C45" s="118">
        <f>(1.15+(1.15*0.15))</f>
        <v>1.3224999999999998</v>
      </c>
      <c r="D45" s="119">
        <v>1</v>
      </c>
      <c r="E45" s="99">
        <f t="shared" si="31"/>
        <v>1.3224999999999998</v>
      </c>
    </row>
    <row r="46" spans="1:11" x14ac:dyDescent="0.25">
      <c r="A46" s="252" t="s">
        <v>106</v>
      </c>
      <c r="B46" s="253"/>
      <c r="C46" s="253"/>
      <c r="D46" s="254"/>
      <c r="E46" s="114">
        <f>SUM(E42:E45)</f>
        <v>20.792000000000002</v>
      </c>
    </row>
    <row r="47" spans="1:11" x14ac:dyDescent="0.25">
      <c r="A47" s="111" t="s">
        <v>113</v>
      </c>
      <c r="B47" s="85"/>
      <c r="C47" s="85"/>
      <c r="D47" s="86"/>
      <c r="E47" s="115"/>
    </row>
    <row r="48" spans="1:11" x14ac:dyDescent="0.25">
      <c r="A48" s="100"/>
      <c r="B48" s="112" t="s">
        <v>114</v>
      </c>
      <c r="C48" s="99">
        <v>35</v>
      </c>
      <c r="D48" s="91">
        <v>1</v>
      </c>
      <c r="E48" s="99">
        <f>C48</f>
        <v>35</v>
      </c>
    </row>
    <row r="49" spans="1:11" x14ac:dyDescent="0.25">
      <c r="A49" s="252" t="s">
        <v>106</v>
      </c>
      <c r="B49" s="253"/>
      <c r="C49" s="253"/>
      <c r="D49" s="254"/>
      <c r="E49" s="120">
        <f>SUM(E48)</f>
        <v>35</v>
      </c>
      <c r="I49" s="255"/>
      <c r="J49" s="255"/>
      <c r="K49" s="255"/>
    </row>
  </sheetData>
  <mergeCells count="29">
    <mergeCell ref="A40:D40"/>
    <mergeCell ref="A46:D46"/>
    <mergeCell ref="A49:D49"/>
    <mergeCell ref="I49:K49"/>
    <mergeCell ref="G20:G21"/>
    <mergeCell ref="H20:H21"/>
    <mergeCell ref="I20:J20"/>
    <mergeCell ref="L20:L21"/>
    <mergeCell ref="A35:A36"/>
    <mergeCell ref="B35:B36"/>
    <mergeCell ref="C35:C36"/>
    <mergeCell ref="D35:D36"/>
    <mergeCell ref="E35:E36"/>
    <mergeCell ref="G4:G5"/>
    <mergeCell ref="H4:H5"/>
    <mergeCell ref="I4:J4"/>
    <mergeCell ref="L4:L5"/>
    <mergeCell ref="A20:A21"/>
    <mergeCell ref="B20:B21"/>
    <mergeCell ref="C20:C21"/>
    <mergeCell ref="D20:D21"/>
    <mergeCell ref="E20:E21"/>
    <mergeCell ref="F20:F21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FD3C-3F9D-4760-9369-BEDDD27E8CEE}">
  <dimension ref="A1:N184"/>
  <sheetViews>
    <sheetView topLeftCell="A67" zoomScale="90" zoomScaleNormal="90" workbookViewId="0">
      <selection activeCell="A89" sqref="A89"/>
    </sheetView>
  </sheetViews>
  <sheetFormatPr defaultRowHeight="15" x14ac:dyDescent="0.25"/>
  <cols>
    <col min="1" max="1" width="34.5703125" customWidth="1"/>
    <col min="2" max="4" width="27.85546875" customWidth="1"/>
    <col min="5" max="5" width="42.42578125" customWidth="1"/>
    <col min="6" max="6" width="31.85546875" style="108" customWidth="1"/>
    <col min="9" max="9" width="10" bestFit="1" customWidth="1"/>
    <col min="12" max="12" width="12.28515625" customWidth="1"/>
    <col min="14" max="14" width="11.140625" bestFit="1" customWidth="1"/>
  </cols>
  <sheetData>
    <row r="1" spans="1:6" ht="26.25" x14ac:dyDescent="0.4">
      <c r="A1" s="79" t="s">
        <v>118</v>
      </c>
    </row>
    <row r="2" spans="1:6" ht="26.25" x14ac:dyDescent="0.4">
      <c r="A2" s="79"/>
    </row>
    <row r="3" spans="1:6" ht="21" x14ac:dyDescent="0.35">
      <c r="A3" s="122" t="s">
        <v>126</v>
      </c>
      <c r="B3" s="123"/>
      <c r="C3" s="123"/>
      <c r="D3" s="124"/>
      <c r="E3" s="123"/>
    </row>
    <row r="4" spans="1:6" x14ac:dyDescent="0.25">
      <c r="A4" s="57" t="s">
        <v>76</v>
      </c>
      <c r="B4" s="58" t="s">
        <v>119</v>
      </c>
      <c r="C4" s="57" t="s">
        <v>78</v>
      </c>
      <c r="D4" s="125" t="s">
        <v>120</v>
      </c>
      <c r="E4" s="57" t="s">
        <v>85</v>
      </c>
    </row>
    <row r="5" spans="1:6" x14ac:dyDescent="0.25">
      <c r="A5" s="256" t="s">
        <v>121</v>
      </c>
      <c r="B5" s="257"/>
      <c r="C5" s="257"/>
      <c r="D5" s="257"/>
      <c r="E5" s="258"/>
    </row>
    <row r="6" spans="1:6" ht="30" x14ac:dyDescent="0.25">
      <c r="A6" s="134" t="s">
        <v>122</v>
      </c>
      <c r="B6" s="94">
        <f>EXTRUSION!M16</f>
        <v>445.77560137457044</v>
      </c>
      <c r="C6" s="88">
        <v>1</v>
      </c>
      <c r="D6" s="126">
        <f>B6*C6</f>
        <v>445.77560137457044</v>
      </c>
      <c r="E6" s="134" t="s">
        <v>132</v>
      </c>
      <c r="F6" s="140" t="s">
        <v>133</v>
      </c>
    </row>
    <row r="7" spans="1:6" x14ac:dyDescent="0.25">
      <c r="A7" s="252" t="s">
        <v>106</v>
      </c>
      <c r="B7" s="253"/>
      <c r="C7" s="254"/>
      <c r="D7" s="127">
        <f>D6</f>
        <v>445.77560137457044</v>
      </c>
      <c r="E7" s="128"/>
      <c r="F7" s="138">
        <f>EXTRUSION!N16</f>
        <v>392.282529209622</v>
      </c>
    </row>
    <row r="8" spans="1:6" x14ac:dyDescent="0.25">
      <c r="A8" s="256" t="s">
        <v>123</v>
      </c>
      <c r="B8" s="257"/>
      <c r="C8" s="257"/>
      <c r="D8" s="257"/>
      <c r="E8" s="258"/>
    </row>
    <row r="9" spans="1:6" x14ac:dyDescent="0.25">
      <c r="A9" s="121" t="s">
        <v>116</v>
      </c>
      <c r="B9" s="94">
        <f>'ACCESSORIES &amp; OTHER PARTS'!G7</f>
        <v>27.500000000000004</v>
      </c>
      <c r="C9" s="88">
        <v>1</v>
      </c>
      <c r="D9" s="94">
        <f>B9*C9</f>
        <v>27.500000000000004</v>
      </c>
      <c r="E9" s="129"/>
    </row>
    <row r="10" spans="1:6" x14ac:dyDescent="0.25">
      <c r="A10" s="252" t="s">
        <v>106</v>
      </c>
      <c r="B10" s="253"/>
      <c r="C10" s="254"/>
      <c r="D10" s="127">
        <f>SUM(D9:D9)</f>
        <v>27.500000000000004</v>
      </c>
      <c r="E10" s="130"/>
      <c r="F10" s="138">
        <f>D10</f>
        <v>27.500000000000004</v>
      </c>
    </row>
    <row r="11" spans="1:6" x14ac:dyDescent="0.25">
      <c r="A11" s="256" t="s">
        <v>130</v>
      </c>
      <c r="B11" s="257"/>
      <c r="C11" s="257"/>
      <c r="D11" s="257"/>
      <c r="E11" s="258"/>
    </row>
    <row r="12" spans="1:6" x14ac:dyDescent="0.25">
      <c r="A12" s="135" t="s">
        <v>127</v>
      </c>
      <c r="B12" s="94">
        <f>'ACCESSORIES &amp; OTHER PARTS'!G9</f>
        <v>110.00000000000001</v>
      </c>
      <c r="C12" s="88">
        <v>1</v>
      </c>
      <c r="D12" s="126">
        <f>B12*C12</f>
        <v>110.00000000000001</v>
      </c>
      <c r="E12" s="129"/>
      <c r="F12" s="108">
        <f>(D12*(1-10%))*C12</f>
        <v>99.000000000000014</v>
      </c>
    </row>
    <row r="13" spans="1:6" x14ac:dyDescent="0.25">
      <c r="A13" s="97" t="s">
        <v>90</v>
      </c>
      <c r="B13" s="94">
        <f>'ACCESSORIES &amp; OTHER PARTS'!G10</f>
        <v>33</v>
      </c>
      <c r="C13" s="88">
        <v>3</v>
      </c>
      <c r="D13" s="126">
        <f t="shared" ref="D13" si="0">B13*C13</f>
        <v>99</v>
      </c>
      <c r="E13" s="129"/>
      <c r="F13" s="108">
        <f>(B13*(1-10%))*C13</f>
        <v>89.1</v>
      </c>
    </row>
    <row r="14" spans="1:6" x14ac:dyDescent="0.25">
      <c r="A14" s="252" t="s">
        <v>106</v>
      </c>
      <c r="B14" s="253"/>
      <c r="C14" s="254"/>
      <c r="D14" s="127">
        <f>SUM(D12:D13)</f>
        <v>209</v>
      </c>
      <c r="E14" s="131"/>
      <c r="F14" s="138">
        <f>SUM(F12:F13)</f>
        <v>188.10000000000002</v>
      </c>
    </row>
    <row r="15" spans="1:6" x14ac:dyDescent="0.25">
      <c r="A15" s="256" t="s">
        <v>124</v>
      </c>
      <c r="B15" s="257"/>
      <c r="C15" s="257"/>
      <c r="D15" s="257"/>
      <c r="E15" s="258"/>
    </row>
    <row r="16" spans="1:6" x14ac:dyDescent="0.25">
      <c r="A16" s="101" t="s">
        <v>92</v>
      </c>
      <c r="B16" s="94">
        <v>5.5</v>
      </c>
      <c r="C16" s="88">
        <v>1</v>
      </c>
      <c r="D16" s="94">
        <f>B16*C16</f>
        <v>5.5</v>
      </c>
      <c r="E16" s="129"/>
    </row>
    <row r="17" spans="1:6" x14ac:dyDescent="0.25">
      <c r="A17" s="252" t="s">
        <v>106</v>
      </c>
      <c r="B17" s="253"/>
      <c r="C17" s="254"/>
      <c r="D17" s="127">
        <f>SUM(D16:D16)</f>
        <v>5.5</v>
      </c>
      <c r="E17" s="132"/>
      <c r="F17" s="138">
        <f>D17</f>
        <v>5.5</v>
      </c>
    </row>
    <row r="18" spans="1:6" x14ac:dyDescent="0.25">
      <c r="A18" s="256" t="s">
        <v>129</v>
      </c>
      <c r="B18" s="257"/>
      <c r="C18" s="257"/>
      <c r="D18" s="257"/>
      <c r="E18" s="258"/>
    </row>
    <row r="19" spans="1:6" x14ac:dyDescent="0.25">
      <c r="A19" s="89" t="s">
        <v>94</v>
      </c>
      <c r="B19" s="94">
        <f>'ACCESSORIES &amp; OTHER PARTS'!G14</f>
        <v>1.2899999999999998</v>
      </c>
      <c r="C19" s="88">
        <v>12</v>
      </c>
      <c r="D19" s="126">
        <f>B19*C19</f>
        <v>15.479999999999997</v>
      </c>
      <c r="E19" s="129"/>
    </row>
    <row r="20" spans="1:6" x14ac:dyDescent="0.25">
      <c r="A20" s="89" t="s">
        <v>96</v>
      </c>
      <c r="B20" s="94">
        <f>'ACCESSORIES &amp; OTHER PARTS'!G15</f>
        <v>1.075</v>
      </c>
      <c r="C20" s="88">
        <v>12</v>
      </c>
      <c r="D20" s="126">
        <f t="shared" ref="D20" si="1">B20*C20</f>
        <v>12.899999999999999</v>
      </c>
      <c r="E20" s="129"/>
    </row>
    <row r="21" spans="1:6" x14ac:dyDescent="0.25">
      <c r="A21" s="121" t="s">
        <v>128</v>
      </c>
      <c r="B21" s="94">
        <f>'ACCESSORIES &amp; OTHER PARTS'!G16</f>
        <v>1.1111111111111112</v>
      </c>
      <c r="C21" s="88">
        <v>3</v>
      </c>
      <c r="D21" s="126">
        <f t="shared" ref="D21" si="2">B21*C21</f>
        <v>3.3333333333333335</v>
      </c>
      <c r="E21" s="129"/>
    </row>
    <row r="22" spans="1:6" x14ac:dyDescent="0.25">
      <c r="A22" s="252" t="s">
        <v>106</v>
      </c>
      <c r="B22" s="253"/>
      <c r="C22" s="254"/>
      <c r="D22" s="127">
        <f>SUM(D19:D21)</f>
        <v>31.713333333333328</v>
      </c>
      <c r="E22" s="137"/>
      <c r="F22" s="138">
        <f>D22</f>
        <v>31.713333333333328</v>
      </c>
    </row>
    <row r="23" spans="1:6" x14ac:dyDescent="0.25">
      <c r="A23" s="259" t="s">
        <v>125</v>
      </c>
      <c r="B23" s="259"/>
      <c r="C23" s="259"/>
      <c r="D23" s="133">
        <f>D7+D10+D14+D17+D22</f>
        <v>719.48893470790381</v>
      </c>
      <c r="F23" s="139">
        <f>F7+F10+F14+F17+F22</f>
        <v>645.09586254295539</v>
      </c>
    </row>
    <row r="26" spans="1:6" ht="21" x14ac:dyDescent="0.35">
      <c r="A26" s="122" t="s">
        <v>134</v>
      </c>
      <c r="B26" s="123"/>
      <c r="C26" s="123"/>
      <c r="D26" s="124"/>
      <c r="E26" s="123"/>
    </row>
    <row r="27" spans="1:6" x14ac:dyDescent="0.25">
      <c r="A27" s="57" t="s">
        <v>76</v>
      </c>
      <c r="B27" s="58" t="s">
        <v>119</v>
      </c>
      <c r="C27" s="57" t="s">
        <v>78</v>
      </c>
      <c r="D27" s="125" t="s">
        <v>120</v>
      </c>
      <c r="E27" s="57" t="s">
        <v>85</v>
      </c>
    </row>
    <row r="28" spans="1:6" x14ac:dyDescent="0.25">
      <c r="A28" s="256" t="s">
        <v>121</v>
      </c>
      <c r="B28" s="257"/>
      <c r="C28" s="257"/>
      <c r="D28" s="257"/>
      <c r="E28" s="258"/>
    </row>
    <row r="29" spans="1:6" ht="30" x14ac:dyDescent="0.25">
      <c r="A29" s="134" t="s">
        <v>122</v>
      </c>
      <c r="B29" s="94">
        <f>EXTRUSION!M34</f>
        <v>494.5699885452463</v>
      </c>
      <c r="C29" s="88">
        <v>1</v>
      </c>
      <c r="D29" s="126">
        <f>B29*C29</f>
        <v>494.5699885452463</v>
      </c>
      <c r="E29" s="134" t="s">
        <v>132</v>
      </c>
      <c r="F29" s="140" t="s">
        <v>133</v>
      </c>
    </row>
    <row r="30" spans="1:6" x14ac:dyDescent="0.25">
      <c r="A30" s="252" t="s">
        <v>106</v>
      </c>
      <c r="B30" s="253"/>
      <c r="C30" s="254"/>
      <c r="D30" s="127">
        <f>D29</f>
        <v>494.5699885452463</v>
      </c>
      <c r="E30" s="128"/>
      <c r="F30" s="138">
        <f>EXTRUSION!N34</f>
        <v>435.22158991981672</v>
      </c>
    </row>
    <row r="31" spans="1:6" x14ac:dyDescent="0.25">
      <c r="A31" s="256" t="s">
        <v>123</v>
      </c>
      <c r="B31" s="257"/>
      <c r="C31" s="257"/>
      <c r="D31" s="257"/>
      <c r="E31" s="258"/>
    </row>
    <row r="32" spans="1:6" x14ac:dyDescent="0.25">
      <c r="A32" s="121" t="s">
        <v>116</v>
      </c>
      <c r="B32" s="94">
        <f>'ACCESSORIES &amp; OTHER PARTS'!G7</f>
        <v>27.500000000000004</v>
      </c>
      <c r="C32" s="88">
        <v>1</v>
      </c>
      <c r="D32" s="94">
        <f>B32*C32</f>
        <v>27.500000000000004</v>
      </c>
      <c r="E32" s="129"/>
    </row>
    <row r="33" spans="1:6" x14ac:dyDescent="0.25">
      <c r="A33" s="252" t="s">
        <v>106</v>
      </c>
      <c r="B33" s="253"/>
      <c r="C33" s="254"/>
      <c r="D33" s="127">
        <f>SUM(D32:D32)</f>
        <v>27.500000000000004</v>
      </c>
      <c r="E33" s="130"/>
      <c r="F33" s="138">
        <f>D33</f>
        <v>27.500000000000004</v>
      </c>
    </row>
    <row r="34" spans="1:6" x14ac:dyDescent="0.25">
      <c r="A34" s="256" t="s">
        <v>130</v>
      </c>
      <c r="B34" s="257"/>
      <c r="C34" s="257"/>
      <c r="D34" s="257"/>
      <c r="E34" s="258"/>
    </row>
    <row r="35" spans="1:6" x14ac:dyDescent="0.25">
      <c r="A35" s="135" t="s">
        <v>127</v>
      </c>
      <c r="B35" s="94">
        <f>'ACCESSORIES &amp; OTHER PARTS'!G9</f>
        <v>110.00000000000001</v>
      </c>
      <c r="C35" s="88">
        <v>1</v>
      </c>
      <c r="D35" s="126">
        <f>B35*C35</f>
        <v>110.00000000000001</v>
      </c>
      <c r="E35" s="129"/>
      <c r="F35" s="108">
        <f>(D35*(1-10%))*C35</f>
        <v>99.000000000000014</v>
      </c>
    </row>
    <row r="36" spans="1:6" x14ac:dyDescent="0.25">
      <c r="A36" s="97" t="s">
        <v>90</v>
      </c>
      <c r="B36" s="94">
        <f>'ACCESSORIES &amp; OTHER PARTS'!G10</f>
        <v>33</v>
      </c>
      <c r="C36" s="88">
        <v>4</v>
      </c>
      <c r="D36" s="126">
        <f t="shared" ref="D36" si="3">B36*C36</f>
        <v>132</v>
      </c>
      <c r="E36" s="129"/>
      <c r="F36" s="108">
        <f>(B36*(1-10%))*C36</f>
        <v>118.8</v>
      </c>
    </row>
    <row r="37" spans="1:6" x14ac:dyDescent="0.25">
      <c r="A37" s="252" t="s">
        <v>106</v>
      </c>
      <c r="B37" s="253"/>
      <c r="C37" s="254"/>
      <c r="D37" s="127">
        <f>SUM(D35:D36)</f>
        <v>242</v>
      </c>
      <c r="E37" s="131"/>
      <c r="F37" s="138">
        <f>SUM(F35:F36)</f>
        <v>217.8</v>
      </c>
    </row>
    <row r="38" spans="1:6" x14ac:dyDescent="0.25">
      <c r="A38" s="256" t="s">
        <v>124</v>
      </c>
      <c r="B38" s="257"/>
      <c r="C38" s="257"/>
      <c r="D38" s="257"/>
      <c r="E38" s="258"/>
    </row>
    <row r="39" spans="1:6" x14ac:dyDescent="0.25">
      <c r="A39" s="101" t="s">
        <v>92</v>
      </c>
      <c r="B39" s="94">
        <f>'ACCESSORIES &amp; OTHER PARTS'!G12</f>
        <v>5.5</v>
      </c>
      <c r="C39" s="88">
        <v>1</v>
      </c>
      <c r="D39" s="94">
        <f>B39*C39</f>
        <v>5.5</v>
      </c>
      <c r="E39" s="129"/>
    </row>
    <row r="40" spans="1:6" x14ac:dyDescent="0.25">
      <c r="A40" s="252" t="s">
        <v>106</v>
      </c>
      <c r="B40" s="253"/>
      <c r="C40" s="254"/>
      <c r="D40" s="127">
        <f>SUM(D39:D39)</f>
        <v>5.5</v>
      </c>
      <c r="E40" s="132"/>
      <c r="F40" s="138">
        <f>D40</f>
        <v>5.5</v>
      </c>
    </row>
    <row r="41" spans="1:6" x14ac:dyDescent="0.25">
      <c r="A41" s="256" t="s">
        <v>129</v>
      </c>
      <c r="B41" s="257"/>
      <c r="C41" s="257"/>
      <c r="D41" s="257"/>
      <c r="E41" s="258"/>
    </row>
    <row r="42" spans="1:6" x14ac:dyDescent="0.25">
      <c r="A42" s="89" t="s">
        <v>94</v>
      </c>
      <c r="B42" s="94">
        <f>'ACCESSORIES &amp; OTHER PARTS'!G14</f>
        <v>1.2899999999999998</v>
      </c>
      <c r="C42" s="88">
        <v>12</v>
      </c>
      <c r="D42" s="126">
        <f>B42*C42</f>
        <v>15.479999999999997</v>
      </c>
      <c r="E42" s="129"/>
    </row>
    <row r="43" spans="1:6" x14ac:dyDescent="0.25">
      <c r="A43" s="89" t="s">
        <v>96</v>
      </c>
      <c r="B43" s="94">
        <f>'ACCESSORIES &amp; OTHER PARTS'!G15</f>
        <v>1.075</v>
      </c>
      <c r="C43" s="88">
        <v>12</v>
      </c>
      <c r="D43" s="126">
        <f t="shared" ref="D43:D44" si="4">B43*C43</f>
        <v>12.899999999999999</v>
      </c>
      <c r="E43" s="129"/>
    </row>
    <row r="44" spans="1:6" x14ac:dyDescent="0.25">
      <c r="A44" s="121" t="s">
        <v>128</v>
      </c>
      <c r="B44" s="94">
        <f>'ACCESSORIES &amp; OTHER PARTS'!G16</f>
        <v>1.1111111111111112</v>
      </c>
      <c r="C44" s="88">
        <v>3</v>
      </c>
      <c r="D44" s="126">
        <f t="shared" si="4"/>
        <v>3.3333333333333335</v>
      </c>
      <c r="E44" s="129"/>
    </row>
    <row r="45" spans="1:6" x14ac:dyDescent="0.25">
      <c r="A45" s="252" t="s">
        <v>106</v>
      </c>
      <c r="B45" s="253"/>
      <c r="C45" s="254"/>
      <c r="D45" s="127">
        <f>SUM(D42:D44)</f>
        <v>31.713333333333328</v>
      </c>
      <c r="E45" s="137"/>
      <c r="F45" s="138">
        <f>D45</f>
        <v>31.713333333333328</v>
      </c>
    </row>
    <row r="46" spans="1:6" x14ac:dyDescent="0.25">
      <c r="A46" s="259" t="s">
        <v>125</v>
      </c>
      <c r="B46" s="259"/>
      <c r="C46" s="259"/>
      <c r="D46" s="133">
        <f>D30+D33+D37+D40+D45</f>
        <v>801.28332187857973</v>
      </c>
      <c r="F46" s="139">
        <f>F30+F33+F37+F40+F45</f>
        <v>717.7349232531501</v>
      </c>
    </row>
    <row r="49" spans="1:6" ht="21" x14ac:dyDescent="0.35">
      <c r="A49" s="122" t="s">
        <v>135</v>
      </c>
      <c r="B49" s="123"/>
      <c r="C49" s="123"/>
      <c r="D49" s="124"/>
      <c r="E49" s="123"/>
    </row>
    <row r="50" spans="1:6" x14ac:dyDescent="0.25">
      <c r="A50" s="57" t="s">
        <v>76</v>
      </c>
      <c r="B50" s="58" t="s">
        <v>119</v>
      </c>
      <c r="C50" s="57" t="s">
        <v>78</v>
      </c>
      <c r="D50" s="125" t="s">
        <v>120</v>
      </c>
      <c r="E50" s="57" t="s">
        <v>85</v>
      </c>
    </row>
    <row r="51" spans="1:6" x14ac:dyDescent="0.25">
      <c r="A51" s="256" t="s">
        <v>121</v>
      </c>
      <c r="B51" s="257"/>
      <c r="C51" s="257"/>
      <c r="D51" s="257"/>
      <c r="E51" s="258"/>
    </row>
    <row r="52" spans="1:6" ht="30" x14ac:dyDescent="0.25">
      <c r="A52" s="134" t="s">
        <v>122</v>
      </c>
      <c r="B52" s="94">
        <f>EXTRUSION!M51</f>
        <v>543.36437571592216</v>
      </c>
      <c r="C52" s="88">
        <v>1</v>
      </c>
      <c r="D52" s="126">
        <f>B52*C52</f>
        <v>543.36437571592216</v>
      </c>
      <c r="E52" s="134" t="s">
        <v>132</v>
      </c>
      <c r="F52" s="140" t="s">
        <v>133</v>
      </c>
    </row>
    <row r="53" spans="1:6" x14ac:dyDescent="0.25">
      <c r="A53" s="252" t="s">
        <v>106</v>
      </c>
      <c r="B53" s="253"/>
      <c r="C53" s="254"/>
      <c r="D53" s="127">
        <f>D52</f>
        <v>543.36437571592216</v>
      </c>
      <c r="E53" s="128"/>
      <c r="F53" s="138">
        <f>EXTRUSION!N51</f>
        <v>478.16065063001145</v>
      </c>
    </row>
    <row r="54" spans="1:6" x14ac:dyDescent="0.25">
      <c r="A54" s="256" t="s">
        <v>123</v>
      </c>
      <c r="B54" s="257"/>
      <c r="C54" s="257"/>
      <c r="D54" s="257"/>
      <c r="E54" s="258"/>
    </row>
    <row r="55" spans="1:6" x14ac:dyDescent="0.25">
      <c r="A55" s="121" t="s">
        <v>116</v>
      </c>
      <c r="B55" s="94">
        <f>'ACCESSORIES &amp; OTHER PARTS'!G23</f>
        <v>27.500000000000004</v>
      </c>
      <c r="C55" s="88">
        <v>1</v>
      </c>
      <c r="D55" s="94">
        <f>B55*C55</f>
        <v>27.500000000000004</v>
      </c>
      <c r="E55" s="129"/>
    </row>
    <row r="56" spans="1:6" x14ac:dyDescent="0.25">
      <c r="A56" s="252" t="s">
        <v>106</v>
      </c>
      <c r="B56" s="253"/>
      <c r="C56" s="254"/>
      <c r="D56" s="127">
        <f>SUM(D55:D55)</f>
        <v>27.500000000000004</v>
      </c>
      <c r="E56" s="130"/>
      <c r="F56" s="138">
        <f>D56</f>
        <v>27.500000000000004</v>
      </c>
    </row>
    <row r="57" spans="1:6" x14ac:dyDescent="0.25">
      <c r="A57" s="256" t="s">
        <v>130</v>
      </c>
      <c r="B57" s="257"/>
      <c r="C57" s="257"/>
      <c r="D57" s="257"/>
      <c r="E57" s="258"/>
    </row>
    <row r="58" spans="1:6" x14ac:dyDescent="0.25">
      <c r="A58" s="135" t="s">
        <v>127</v>
      </c>
      <c r="B58" s="94">
        <f>'ACCESSORIES &amp; OTHER PARTS'!G25</f>
        <v>110.00000000000001</v>
      </c>
      <c r="C58" s="88">
        <v>1</v>
      </c>
      <c r="D58" s="126">
        <f>B58*C58</f>
        <v>110.00000000000001</v>
      </c>
      <c r="E58" s="129"/>
      <c r="F58" s="108">
        <f>(D58*(1-10%))*C58</f>
        <v>99.000000000000014</v>
      </c>
    </row>
    <row r="59" spans="1:6" x14ac:dyDescent="0.25">
      <c r="A59" s="97" t="s">
        <v>90</v>
      </c>
      <c r="B59" s="94">
        <f>'ACCESSORIES &amp; OTHER PARTS'!G26</f>
        <v>33</v>
      </c>
      <c r="C59" s="88">
        <v>5</v>
      </c>
      <c r="D59" s="126">
        <f t="shared" ref="D59" si="5">B59*C59</f>
        <v>165</v>
      </c>
      <c r="E59" s="129"/>
      <c r="F59" s="108">
        <f>(B59*(1-10%))*C59</f>
        <v>148.5</v>
      </c>
    </row>
    <row r="60" spans="1:6" x14ac:dyDescent="0.25">
      <c r="A60" s="252" t="s">
        <v>106</v>
      </c>
      <c r="B60" s="253"/>
      <c r="C60" s="254"/>
      <c r="D60" s="127">
        <f>SUM(D58:D59)</f>
        <v>275</v>
      </c>
      <c r="E60" s="131"/>
      <c r="F60" s="138">
        <f>SUM(F58:F59)</f>
        <v>247.5</v>
      </c>
    </row>
    <row r="61" spans="1:6" x14ac:dyDescent="0.25">
      <c r="A61" s="256" t="s">
        <v>124</v>
      </c>
      <c r="B61" s="257"/>
      <c r="C61" s="257"/>
      <c r="D61" s="257"/>
      <c r="E61" s="258"/>
    </row>
    <row r="62" spans="1:6" x14ac:dyDescent="0.25">
      <c r="A62" s="101" t="s">
        <v>92</v>
      </c>
      <c r="B62" s="94">
        <f>'ACCESSORIES &amp; OTHER PARTS'!G28</f>
        <v>5.5</v>
      </c>
      <c r="C62" s="88">
        <v>1</v>
      </c>
      <c r="D62" s="94">
        <f>B62*C62</f>
        <v>5.5</v>
      </c>
      <c r="E62" s="129"/>
    </row>
    <row r="63" spans="1:6" x14ac:dyDescent="0.25">
      <c r="A63" s="252" t="s">
        <v>106</v>
      </c>
      <c r="B63" s="253"/>
      <c r="C63" s="254"/>
      <c r="D63" s="127">
        <f>SUM(D62:D62)</f>
        <v>5.5</v>
      </c>
      <c r="E63" s="132"/>
      <c r="F63" s="138">
        <f>D63</f>
        <v>5.5</v>
      </c>
    </row>
    <row r="64" spans="1:6" x14ac:dyDescent="0.25">
      <c r="A64" s="256" t="s">
        <v>129</v>
      </c>
      <c r="B64" s="257"/>
      <c r="C64" s="257"/>
      <c r="D64" s="257"/>
      <c r="E64" s="258"/>
    </row>
    <row r="65" spans="1:6" x14ac:dyDescent="0.25">
      <c r="A65" s="89" t="s">
        <v>94</v>
      </c>
      <c r="B65" s="94">
        <f>'ACCESSORIES &amp; OTHER PARTS'!G30</f>
        <v>1.2899999999999998</v>
      </c>
      <c r="C65" s="88">
        <v>12</v>
      </c>
      <c r="D65" s="126">
        <f>B65*C65</f>
        <v>15.479999999999997</v>
      </c>
      <c r="E65" s="129"/>
    </row>
    <row r="66" spans="1:6" x14ac:dyDescent="0.25">
      <c r="A66" s="89" t="s">
        <v>96</v>
      </c>
      <c r="B66" s="94">
        <f>'ACCESSORIES &amp; OTHER PARTS'!G31</f>
        <v>1.075</v>
      </c>
      <c r="C66" s="88">
        <v>12</v>
      </c>
      <c r="D66" s="126">
        <f t="shared" ref="D66:D67" si="6">B66*C66</f>
        <v>12.899999999999999</v>
      </c>
      <c r="E66" s="129"/>
    </row>
    <row r="67" spans="1:6" x14ac:dyDescent="0.25">
      <c r="A67" s="121" t="s">
        <v>128</v>
      </c>
      <c r="B67" s="94">
        <f>'ACCESSORIES &amp; OTHER PARTS'!G32</f>
        <v>1.1111111111111112</v>
      </c>
      <c r="C67" s="88">
        <v>3</v>
      </c>
      <c r="D67" s="126">
        <f t="shared" si="6"/>
        <v>3.3333333333333335</v>
      </c>
      <c r="E67" s="129"/>
    </row>
    <row r="68" spans="1:6" x14ac:dyDescent="0.25">
      <c r="A68" s="252" t="s">
        <v>106</v>
      </c>
      <c r="B68" s="253"/>
      <c r="C68" s="254"/>
      <c r="D68" s="127">
        <f>SUM(D65:D67)</f>
        <v>31.713333333333328</v>
      </c>
      <c r="E68" s="137"/>
      <c r="F68" s="138">
        <f>D68</f>
        <v>31.713333333333328</v>
      </c>
    </row>
    <row r="69" spans="1:6" x14ac:dyDescent="0.25">
      <c r="A69" s="259" t="s">
        <v>125</v>
      </c>
      <c r="B69" s="259"/>
      <c r="C69" s="259"/>
      <c r="D69" s="133">
        <f>D53+D56+D60+D63+D68</f>
        <v>883.07770904925553</v>
      </c>
      <c r="F69" s="139">
        <f>F53+F56+F60+F63+F68</f>
        <v>790.37398396334481</v>
      </c>
    </row>
    <row r="72" spans="1:6" ht="21" x14ac:dyDescent="0.35">
      <c r="A72" s="122" t="s">
        <v>136</v>
      </c>
      <c r="B72" s="123"/>
      <c r="C72" s="123"/>
      <c r="D72" s="124"/>
      <c r="E72" s="123"/>
    </row>
    <row r="73" spans="1:6" x14ac:dyDescent="0.25">
      <c r="A73" s="57" t="s">
        <v>76</v>
      </c>
      <c r="B73" s="58" t="s">
        <v>119</v>
      </c>
      <c r="C73" s="57" t="s">
        <v>78</v>
      </c>
      <c r="D73" s="125" t="s">
        <v>120</v>
      </c>
      <c r="E73" s="57" t="s">
        <v>85</v>
      </c>
    </row>
    <row r="74" spans="1:6" x14ac:dyDescent="0.25">
      <c r="A74" s="256" t="s">
        <v>121</v>
      </c>
      <c r="B74" s="257"/>
      <c r="C74" s="257"/>
      <c r="D74" s="257"/>
      <c r="E74" s="258"/>
    </row>
    <row r="75" spans="1:6" ht="30" x14ac:dyDescent="0.25">
      <c r="A75" s="134" t="s">
        <v>122</v>
      </c>
      <c r="B75" s="94">
        <f>EXTRUSION!M68</f>
        <v>592.15876288659786</v>
      </c>
      <c r="C75" s="88">
        <v>1</v>
      </c>
      <c r="D75" s="126">
        <f>B75*C75</f>
        <v>592.15876288659786</v>
      </c>
      <c r="E75" s="134" t="s">
        <v>132</v>
      </c>
      <c r="F75" s="140" t="s">
        <v>133</v>
      </c>
    </row>
    <row r="76" spans="1:6" x14ac:dyDescent="0.25">
      <c r="A76" s="252" t="s">
        <v>106</v>
      </c>
      <c r="B76" s="253"/>
      <c r="C76" s="254"/>
      <c r="D76" s="127">
        <f>D75</f>
        <v>592.15876288659786</v>
      </c>
      <c r="E76" s="128"/>
      <c r="F76" s="138">
        <f>EXTRUSION!N68</f>
        <v>521.09971134020611</v>
      </c>
    </row>
    <row r="77" spans="1:6" x14ac:dyDescent="0.25">
      <c r="A77" s="256" t="s">
        <v>123</v>
      </c>
      <c r="B77" s="257"/>
      <c r="C77" s="257"/>
      <c r="D77" s="257"/>
      <c r="E77" s="258"/>
    </row>
    <row r="78" spans="1:6" x14ac:dyDescent="0.25">
      <c r="A78" s="121" t="s">
        <v>116</v>
      </c>
      <c r="B78" s="94">
        <f>'ACCESSORIES &amp; OTHER PARTS'!G23</f>
        <v>27.500000000000004</v>
      </c>
      <c r="C78" s="88">
        <v>1</v>
      </c>
      <c r="D78" s="94">
        <f>B78*C78</f>
        <v>27.500000000000004</v>
      </c>
      <c r="E78" s="129"/>
    </row>
    <row r="79" spans="1:6" x14ac:dyDescent="0.25">
      <c r="A79" s="252" t="s">
        <v>106</v>
      </c>
      <c r="B79" s="253"/>
      <c r="C79" s="254"/>
      <c r="D79" s="127">
        <f>SUM(D78:D78)</f>
        <v>27.500000000000004</v>
      </c>
      <c r="E79" s="130"/>
      <c r="F79" s="138">
        <f>D79</f>
        <v>27.500000000000004</v>
      </c>
    </row>
    <row r="80" spans="1:6" x14ac:dyDescent="0.25">
      <c r="A80" s="256" t="s">
        <v>130</v>
      </c>
      <c r="B80" s="257"/>
      <c r="C80" s="257"/>
      <c r="D80" s="257"/>
      <c r="E80" s="258"/>
    </row>
    <row r="81" spans="1:6" x14ac:dyDescent="0.25">
      <c r="A81" s="135" t="s">
        <v>127</v>
      </c>
      <c r="B81" s="94">
        <f>'ACCESSORIES &amp; OTHER PARTS'!G25</f>
        <v>110.00000000000001</v>
      </c>
      <c r="C81" s="88">
        <v>1</v>
      </c>
      <c r="D81" s="126">
        <f>B81*C81</f>
        <v>110.00000000000001</v>
      </c>
      <c r="E81" s="129"/>
      <c r="F81" s="108">
        <f>(D81*(1-10%))*C81</f>
        <v>99.000000000000014</v>
      </c>
    </row>
    <row r="82" spans="1:6" x14ac:dyDescent="0.25">
      <c r="A82" s="97" t="s">
        <v>90</v>
      </c>
      <c r="B82" s="94">
        <f>'ACCESSORIES &amp; OTHER PARTS'!G26</f>
        <v>33</v>
      </c>
      <c r="C82" s="88">
        <v>6</v>
      </c>
      <c r="D82" s="126">
        <f t="shared" ref="D82" si="7">B82*C82</f>
        <v>198</v>
      </c>
      <c r="E82" s="129"/>
      <c r="F82" s="108">
        <f>(B82*(1-10%))*C82</f>
        <v>178.2</v>
      </c>
    </row>
    <row r="83" spans="1:6" x14ac:dyDescent="0.25">
      <c r="A83" s="252" t="s">
        <v>106</v>
      </c>
      <c r="B83" s="253"/>
      <c r="C83" s="254"/>
      <c r="D83" s="127">
        <f>SUM(D81:D82)</f>
        <v>308</v>
      </c>
      <c r="E83" s="131"/>
      <c r="F83" s="138">
        <f>SUM(F81:F82)</f>
        <v>277.2</v>
      </c>
    </row>
    <row r="84" spans="1:6" x14ac:dyDescent="0.25">
      <c r="A84" s="256" t="s">
        <v>124</v>
      </c>
      <c r="B84" s="257"/>
      <c r="C84" s="257"/>
      <c r="D84" s="257"/>
      <c r="E84" s="258"/>
    </row>
    <row r="85" spans="1:6" x14ac:dyDescent="0.25">
      <c r="A85" s="101" t="s">
        <v>92</v>
      </c>
      <c r="B85" s="94">
        <f>'ACCESSORIES &amp; OTHER PARTS'!G28</f>
        <v>5.5</v>
      </c>
      <c r="C85" s="88">
        <v>1</v>
      </c>
      <c r="D85" s="94">
        <f>B85*C85</f>
        <v>5.5</v>
      </c>
      <c r="E85" s="129"/>
    </row>
    <row r="86" spans="1:6" x14ac:dyDescent="0.25">
      <c r="A86" s="252" t="s">
        <v>106</v>
      </c>
      <c r="B86" s="253"/>
      <c r="C86" s="254"/>
      <c r="D86" s="127">
        <f>SUM(D85:D85)</f>
        <v>5.5</v>
      </c>
      <c r="E86" s="132"/>
      <c r="F86" s="138">
        <f>D86</f>
        <v>5.5</v>
      </c>
    </row>
    <row r="87" spans="1:6" x14ac:dyDescent="0.25">
      <c r="A87" s="256" t="s">
        <v>129</v>
      </c>
      <c r="B87" s="257"/>
      <c r="C87" s="257"/>
      <c r="D87" s="257"/>
      <c r="E87" s="258"/>
    </row>
    <row r="88" spans="1:6" x14ac:dyDescent="0.25">
      <c r="A88" s="89" t="s">
        <v>94</v>
      </c>
      <c r="B88" s="94">
        <f>'ACCESSORIES &amp; OTHER PARTS'!G30</f>
        <v>1.2899999999999998</v>
      </c>
      <c r="C88" s="88">
        <v>12</v>
      </c>
      <c r="D88" s="126">
        <f>B88*C88</f>
        <v>15.479999999999997</v>
      </c>
      <c r="E88" s="129"/>
    </row>
    <row r="89" spans="1:6" x14ac:dyDescent="0.25">
      <c r="A89" s="89" t="s">
        <v>96</v>
      </c>
      <c r="B89" s="94">
        <f>'ACCESSORIES &amp; OTHER PARTS'!G31</f>
        <v>1.075</v>
      </c>
      <c r="C89" s="88">
        <v>12</v>
      </c>
      <c r="D89" s="126">
        <f t="shared" ref="D89:D90" si="8">B89*C89</f>
        <v>12.899999999999999</v>
      </c>
      <c r="E89" s="129"/>
    </row>
    <row r="90" spans="1:6" x14ac:dyDescent="0.25">
      <c r="A90" s="121" t="s">
        <v>128</v>
      </c>
      <c r="B90" s="94">
        <f>'ACCESSORIES &amp; OTHER PARTS'!G32</f>
        <v>1.1111111111111112</v>
      </c>
      <c r="C90" s="88">
        <v>3</v>
      </c>
      <c r="D90" s="126">
        <f t="shared" si="8"/>
        <v>3.3333333333333335</v>
      </c>
      <c r="E90" s="129"/>
    </row>
    <row r="91" spans="1:6" x14ac:dyDescent="0.25">
      <c r="A91" s="252" t="s">
        <v>106</v>
      </c>
      <c r="B91" s="253"/>
      <c r="C91" s="254"/>
      <c r="D91" s="127">
        <f>SUM(D88:D90)</f>
        <v>31.713333333333328</v>
      </c>
      <c r="E91" s="137"/>
      <c r="F91" s="138">
        <f>D91</f>
        <v>31.713333333333328</v>
      </c>
    </row>
    <row r="92" spans="1:6" x14ac:dyDescent="0.25">
      <c r="A92" s="259" t="s">
        <v>125</v>
      </c>
      <c r="B92" s="259"/>
      <c r="C92" s="259"/>
      <c r="D92" s="133">
        <f>D76+D79+D83+D86+D91</f>
        <v>964.87209621993122</v>
      </c>
      <c r="F92" s="139">
        <f>F76+F79+F83+F86+F91</f>
        <v>863.01304467353953</v>
      </c>
    </row>
    <row r="95" spans="1:6" ht="21" x14ac:dyDescent="0.35">
      <c r="A95" s="122" t="s">
        <v>137</v>
      </c>
      <c r="B95" s="123"/>
      <c r="C95" s="123"/>
      <c r="D95" s="124"/>
      <c r="E95" s="123"/>
    </row>
    <row r="96" spans="1:6" x14ac:dyDescent="0.25">
      <c r="A96" s="57" t="s">
        <v>76</v>
      </c>
      <c r="B96" s="58" t="s">
        <v>119</v>
      </c>
      <c r="C96" s="57" t="s">
        <v>78</v>
      </c>
      <c r="D96" s="125" t="s">
        <v>120</v>
      </c>
      <c r="E96" s="57" t="s">
        <v>85</v>
      </c>
    </row>
    <row r="97" spans="1:6" x14ac:dyDescent="0.25">
      <c r="A97" s="256" t="s">
        <v>121</v>
      </c>
      <c r="B97" s="257"/>
      <c r="C97" s="257"/>
      <c r="D97" s="257"/>
      <c r="E97" s="258"/>
    </row>
    <row r="98" spans="1:6" ht="30" x14ac:dyDescent="0.25">
      <c r="A98" s="134" t="s">
        <v>122</v>
      </c>
      <c r="B98" s="94">
        <f>EXTRUSION!M85</f>
        <v>640.95315005727366</v>
      </c>
      <c r="C98" s="88">
        <v>1</v>
      </c>
      <c r="D98" s="126">
        <f>B98*C98</f>
        <v>640.95315005727366</v>
      </c>
      <c r="E98" s="134" t="s">
        <v>132</v>
      </c>
      <c r="F98" s="140" t="s">
        <v>133</v>
      </c>
    </row>
    <row r="99" spans="1:6" x14ac:dyDescent="0.25">
      <c r="A99" s="252" t="s">
        <v>106</v>
      </c>
      <c r="B99" s="253"/>
      <c r="C99" s="254"/>
      <c r="D99" s="127">
        <f>D98</f>
        <v>640.95315005727366</v>
      </c>
      <c r="E99" s="128"/>
      <c r="F99" s="138">
        <f>EXTRUSION!N85</f>
        <v>564.03877205040089</v>
      </c>
    </row>
    <row r="100" spans="1:6" x14ac:dyDescent="0.25">
      <c r="A100" s="256" t="s">
        <v>123</v>
      </c>
      <c r="B100" s="257"/>
      <c r="C100" s="257"/>
      <c r="D100" s="257"/>
      <c r="E100" s="258"/>
    </row>
    <row r="101" spans="1:6" x14ac:dyDescent="0.25">
      <c r="A101" s="121" t="s">
        <v>116</v>
      </c>
      <c r="B101" s="94">
        <f>'ACCESSORIES &amp; OTHER PARTS'!G23</f>
        <v>27.500000000000004</v>
      </c>
      <c r="C101" s="88">
        <v>1</v>
      </c>
      <c r="D101" s="94">
        <f>B101*C101</f>
        <v>27.500000000000004</v>
      </c>
      <c r="E101" s="129"/>
    </row>
    <row r="102" spans="1:6" x14ac:dyDescent="0.25">
      <c r="A102" s="252" t="s">
        <v>106</v>
      </c>
      <c r="B102" s="253"/>
      <c r="C102" s="254"/>
      <c r="D102" s="127">
        <f>SUM(D101:D101)</f>
        <v>27.500000000000004</v>
      </c>
      <c r="E102" s="130"/>
      <c r="F102" s="138">
        <f>D102</f>
        <v>27.500000000000004</v>
      </c>
    </row>
    <row r="103" spans="1:6" x14ac:dyDescent="0.25">
      <c r="A103" s="256" t="s">
        <v>130</v>
      </c>
      <c r="B103" s="257"/>
      <c r="C103" s="257"/>
      <c r="D103" s="257"/>
      <c r="E103" s="258"/>
    </row>
    <row r="104" spans="1:6" x14ac:dyDescent="0.25">
      <c r="A104" s="135" t="s">
        <v>127</v>
      </c>
      <c r="B104" s="94">
        <f>'ACCESSORIES &amp; OTHER PARTS'!G25</f>
        <v>110.00000000000001</v>
      </c>
      <c r="C104" s="88">
        <v>1</v>
      </c>
      <c r="D104" s="126">
        <f>B104*C104</f>
        <v>110.00000000000001</v>
      </c>
      <c r="E104" s="129"/>
      <c r="F104" s="108">
        <f>(D104*(1-10%))*C104</f>
        <v>99.000000000000014</v>
      </c>
    </row>
    <row r="105" spans="1:6" x14ac:dyDescent="0.25">
      <c r="A105" s="97" t="s">
        <v>90</v>
      </c>
      <c r="B105" s="94">
        <f>'ACCESSORIES &amp; OTHER PARTS'!G26</f>
        <v>33</v>
      </c>
      <c r="C105" s="88">
        <v>7</v>
      </c>
      <c r="D105" s="126">
        <f t="shared" ref="D105" si="9">B105*C105</f>
        <v>231</v>
      </c>
      <c r="E105" s="129"/>
      <c r="F105" s="108">
        <f>(B105*(1-10%))*C105</f>
        <v>207.9</v>
      </c>
    </row>
    <row r="106" spans="1:6" x14ac:dyDescent="0.25">
      <c r="A106" s="252" t="s">
        <v>106</v>
      </c>
      <c r="B106" s="253"/>
      <c r="C106" s="254"/>
      <c r="D106" s="127">
        <f>SUM(D104:D105)</f>
        <v>341</v>
      </c>
      <c r="E106" s="131"/>
      <c r="F106" s="138">
        <f>SUM(F104:F105)</f>
        <v>306.90000000000003</v>
      </c>
    </row>
    <row r="107" spans="1:6" x14ac:dyDescent="0.25">
      <c r="A107" s="256" t="s">
        <v>124</v>
      </c>
      <c r="B107" s="257"/>
      <c r="C107" s="257"/>
      <c r="D107" s="257"/>
      <c r="E107" s="258"/>
    </row>
    <row r="108" spans="1:6" x14ac:dyDescent="0.25">
      <c r="A108" s="101" t="s">
        <v>92</v>
      </c>
      <c r="B108" s="94">
        <f>'ACCESSORIES &amp; OTHER PARTS'!G28</f>
        <v>5.5</v>
      </c>
      <c r="C108" s="88">
        <v>1</v>
      </c>
      <c r="D108" s="94">
        <f>B108*C108</f>
        <v>5.5</v>
      </c>
      <c r="E108" s="129"/>
    </row>
    <row r="109" spans="1:6" x14ac:dyDescent="0.25">
      <c r="A109" s="252" t="s">
        <v>106</v>
      </c>
      <c r="B109" s="253"/>
      <c r="C109" s="254"/>
      <c r="D109" s="127">
        <f>SUM(D108:D108)</f>
        <v>5.5</v>
      </c>
      <c r="E109" s="132"/>
      <c r="F109" s="138">
        <f>D109</f>
        <v>5.5</v>
      </c>
    </row>
    <row r="110" spans="1:6" x14ac:dyDescent="0.25">
      <c r="A110" s="256" t="s">
        <v>129</v>
      </c>
      <c r="B110" s="257"/>
      <c r="C110" s="257"/>
      <c r="D110" s="257"/>
      <c r="E110" s="258"/>
    </row>
    <row r="111" spans="1:6" x14ac:dyDescent="0.25">
      <c r="A111" s="89" t="s">
        <v>94</v>
      </c>
      <c r="B111" s="94">
        <f>'ACCESSORIES &amp; OTHER PARTS'!G30</f>
        <v>1.2899999999999998</v>
      </c>
      <c r="C111" s="88">
        <v>12</v>
      </c>
      <c r="D111" s="126">
        <f>B111*C111</f>
        <v>15.479999999999997</v>
      </c>
      <c r="E111" s="129"/>
    </row>
    <row r="112" spans="1:6" x14ac:dyDescent="0.25">
      <c r="A112" s="89" t="s">
        <v>96</v>
      </c>
      <c r="B112" s="94">
        <f>'ACCESSORIES &amp; OTHER PARTS'!G31</f>
        <v>1.075</v>
      </c>
      <c r="C112" s="88">
        <v>12</v>
      </c>
      <c r="D112" s="126">
        <f t="shared" ref="D112:D113" si="10">B112*C112</f>
        <v>12.899999999999999</v>
      </c>
      <c r="E112" s="129"/>
    </row>
    <row r="113" spans="1:6" x14ac:dyDescent="0.25">
      <c r="A113" s="121" t="s">
        <v>128</v>
      </c>
      <c r="B113" s="94">
        <f>'ACCESSORIES &amp; OTHER PARTS'!G32</f>
        <v>1.1111111111111112</v>
      </c>
      <c r="C113" s="88">
        <v>3</v>
      </c>
      <c r="D113" s="126">
        <f t="shared" si="10"/>
        <v>3.3333333333333335</v>
      </c>
      <c r="E113" s="129"/>
    </row>
    <row r="114" spans="1:6" x14ac:dyDescent="0.25">
      <c r="A114" s="252" t="s">
        <v>106</v>
      </c>
      <c r="B114" s="253"/>
      <c r="C114" s="254"/>
      <c r="D114" s="127">
        <f>SUM(D111:D113)</f>
        <v>31.713333333333328</v>
      </c>
      <c r="E114" s="137"/>
      <c r="F114" s="138">
        <f>D114</f>
        <v>31.713333333333328</v>
      </c>
    </row>
    <row r="115" spans="1:6" x14ac:dyDescent="0.25">
      <c r="A115" s="259" t="s">
        <v>125</v>
      </c>
      <c r="B115" s="259"/>
      <c r="C115" s="259"/>
      <c r="D115" s="133">
        <f>D99+D102+D106+D109+D114</f>
        <v>1046.666483390607</v>
      </c>
      <c r="F115" s="139">
        <f>F99+F102+F106+F109+F114</f>
        <v>935.65210538373435</v>
      </c>
    </row>
    <row r="118" spans="1:6" ht="21" x14ac:dyDescent="0.35">
      <c r="A118" s="122" t="s">
        <v>138</v>
      </c>
      <c r="B118" s="123"/>
      <c r="C118" s="123"/>
      <c r="D118" s="124"/>
      <c r="E118" s="123"/>
    </row>
    <row r="119" spans="1:6" x14ac:dyDescent="0.25">
      <c r="A119" s="57" t="s">
        <v>76</v>
      </c>
      <c r="B119" s="58" t="s">
        <v>119</v>
      </c>
      <c r="C119" s="57" t="s">
        <v>78</v>
      </c>
      <c r="D119" s="125" t="s">
        <v>120</v>
      </c>
      <c r="E119" s="57" t="s">
        <v>85</v>
      </c>
    </row>
    <row r="120" spans="1:6" x14ac:dyDescent="0.25">
      <c r="A120" s="256" t="s">
        <v>121</v>
      </c>
      <c r="B120" s="257"/>
      <c r="C120" s="257"/>
      <c r="D120" s="257"/>
      <c r="E120" s="258"/>
    </row>
    <row r="121" spans="1:6" ht="30" x14ac:dyDescent="0.25">
      <c r="A121" s="134" t="s">
        <v>122</v>
      </c>
      <c r="B121" s="94">
        <f>EXTRUSION!M104</f>
        <v>1228.0408361970219</v>
      </c>
      <c r="C121" s="88">
        <v>1</v>
      </c>
      <c r="D121" s="126">
        <f>B121*C121</f>
        <v>1228.0408361970219</v>
      </c>
      <c r="E121" s="134" t="s">
        <v>132</v>
      </c>
      <c r="F121" s="140" t="s">
        <v>133</v>
      </c>
    </row>
    <row r="122" spans="1:6" x14ac:dyDescent="0.25">
      <c r="A122" s="252" t="s">
        <v>106</v>
      </c>
      <c r="B122" s="253"/>
      <c r="C122" s="254"/>
      <c r="D122" s="127">
        <f>D121</f>
        <v>1228.0408361970219</v>
      </c>
      <c r="E122" s="128"/>
      <c r="F122" s="138">
        <f>EXTRUSION!N104</f>
        <v>1080.6759358533791</v>
      </c>
    </row>
    <row r="123" spans="1:6" x14ac:dyDescent="0.25">
      <c r="A123" s="256" t="s">
        <v>123</v>
      </c>
      <c r="B123" s="257"/>
      <c r="C123" s="257"/>
      <c r="D123" s="257"/>
      <c r="E123" s="258"/>
    </row>
    <row r="124" spans="1:6" x14ac:dyDescent="0.25">
      <c r="A124" s="121" t="s">
        <v>116</v>
      </c>
      <c r="B124" s="94">
        <f>'ACCESSORIES &amp; OTHER PARTS'!G23</f>
        <v>27.500000000000004</v>
      </c>
      <c r="C124" s="88">
        <v>1</v>
      </c>
      <c r="D124" s="94">
        <f>B124*C124</f>
        <v>27.500000000000004</v>
      </c>
      <c r="E124" s="129"/>
    </row>
    <row r="125" spans="1:6" x14ac:dyDescent="0.25">
      <c r="A125" s="252" t="s">
        <v>106</v>
      </c>
      <c r="B125" s="253"/>
      <c r="C125" s="254"/>
      <c r="D125" s="127">
        <f>SUM(D124:D124)</f>
        <v>27.500000000000004</v>
      </c>
      <c r="E125" s="130"/>
      <c r="F125" s="138">
        <f>D125</f>
        <v>27.500000000000004</v>
      </c>
    </row>
    <row r="126" spans="1:6" x14ac:dyDescent="0.25">
      <c r="A126" s="256" t="s">
        <v>130</v>
      </c>
      <c r="B126" s="257"/>
      <c r="C126" s="257"/>
      <c r="D126" s="257"/>
      <c r="E126" s="258"/>
    </row>
    <row r="127" spans="1:6" x14ac:dyDescent="0.25">
      <c r="A127" s="135" t="s">
        <v>127</v>
      </c>
      <c r="B127" s="94">
        <f>'ACCESSORIES &amp; OTHER PARTS'!G25</f>
        <v>110.00000000000001</v>
      </c>
      <c r="C127" s="88">
        <v>1</v>
      </c>
      <c r="D127" s="126">
        <f>B127*C127</f>
        <v>110.00000000000001</v>
      </c>
      <c r="E127" s="129"/>
      <c r="F127" s="108">
        <f>(D127*(1-10%))*C127</f>
        <v>99.000000000000014</v>
      </c>
    </row>
    <row r="128" spans="1:6" x14ac:dyDescent="0.25">
      <c r="A128" s="97" t="s">
        <v>90</v>
      </c>
      <c r="B128" s="94">
        <f>'ACCESSORIES &amp; OTHER PARTS'!G26</f>
        <v>33</v>
      </c>
      <c r="C128" s="88">
        <v>8</v>
      </c>
      <c r="D128" s="126">
        <f t="shared" ref="D128" si="11">B128*C128</f>
        <v>264</v>
      </c>
      <c r="E128" s="129"/>
      <c r="F128" s="108">
        <f>(B128*(1-10%))*C128</f>
        <v>237.6</v>
      </c>
    </row>
    <row r="129" spans="1:6" x14ac:dyDescent="0.25">
      <c r="A129" s="252" t="s">
        <v>106</v>
      </c>
      <c r="B129" s="253"/>
      <c r="C129" s="254"/>
      <c r="D129" s="127">
        <f>SUM(D127:D128)</f>
        <v>374</v>
      </c>
      <c r="E129" s="131"/>
      <c r="F129" s="138">
        <f>SUM(F127:F128)</f>
        <v>336.6</v>
      </c>
    </row>
    <row r="130" spans="1:6" x14ac:dyDescent="0.25">
      <c r="A130" s="256" t="s">
        <v>124</v>
      </c>
      <c r="B130" s="257"/>
      <c r="C130" s="257"/>
      <c r="D130" s="257"/>
      <c r="E130" s="258"/>
    </row>
    <row r="131" spans="1:6" x14ac:dyDescent="0.25">
      <c r="A131" s="101" t="s">
        <v>92</v>
      </c>
      <c r="B131" s="94">
        <f>'ACCESSORIES &amp; OTHER PARTS'!G28</f>
        <v>5.5</v>
      </c>
      <c r="C131" s="88">
        <v>1</v>
      </c>
      <c r="D131" s="94">
        <f>B131*C131</f>
        <v>5.5</v>
      </c>
      <c r="E131" s="129"/>
    </row>
    <row r="132" spans="1:6" x14ac:dyDescent="0.25">
      <c r="A132" s="252" t="s">
        <v>106</v>
      </c>
      <c r="B132" s="253"/>
      <c r="C132" s="254"/>
      <c r="D132" s="127">
        <f>SUM(D131:D131)</f>
        <v>5.5</v>
      </c>
      <c r="E132" s="132"/>
      <c r="F132" s="138">
        <f>D132</f>
        <v>5.5</v>
      </c>
    </row>
    <row r="133" spans="1:6" x14ac:dyDescent="0.25">
      <c r="A133" s="256" t="s">
        <v>129</v>
      </c>
      <c r="B133" s="257"/>
      <c r="C133" s="257"/>
      <c r="D133" s="257"/>
      <c r="E133" s="258"/>
    </row>
    <row r="134" spans="1:6" x14ac:dyDescent="0.25">
      <c r="A134" s="89" t="s">
        <v>94</v>
      </c>
      <c r="B134" s="94">
        <f>'ACCESSORIES &amp; OTHER PARTS'!G30</f>
        <v>1.2899999999999998</v>
      </c>
      <c r="C134" s="88">
        <v>36</v>
      </c>
      <c r="D134" s="126">
        <f>B134*C134</f>
        <v>46.439999999999991</v>
      </c>
      <c r="E134" s="129"/>
    </row>
    <row r="135" spans="1:6" x14ac:dyDescent="0.25">
      <c r="A135" s="89" t="s">
        <v>96</v>
      </c>
      <c r="B135" s="94">
        <f>'ACCESSORIES &amp; OTHER PARTS'!G31</f>
        <v>1.075</v>
      </c>
      <c r="C135" s="88">
        <v>36</v>
      </c>
      <c r="D135" s="126">
        <f t="shared" ref="D135:D136" si="12">B135*C135</f>
        <v>38.699999999999996</v>
      </c>
      <c r="E135" s="129"/>
    </row>
    <row r="136" spans="1:6" x14ac:dyDescent="0.25">
      <c r="A136" s="121" t="s">
        <v>128</v>
      </c>
      <c r="B136" s="94">
        <f>'ACCESSORIES &amp; OTHER PARTS'!G32</f>
        <v>1.1111111111111112</v>
      </c>
      <c r="C136" s="88">
        <v>3</v>
      </c>
      <c r="D136" s="126">
        <f t="shared" si="12"/>
        <v>3.3333333333333335</v>
      </c>
      <c r="E136" s="129"/>
    </row>
    <row r="137" spans="1:6" x14ac:dyDescent="0.25">
      <c r="A137" s="252" t="s">
        <v>106</v>
      </c>
      <c r="B137" s="253"/>
      <c r="C137" s="254"/>
      <c r="D137" s="127">
        <f>SUM(D134:D136)</f>
        <v>88.473333333333315</v>
      </c>
      <c r="E137" s="137"/>
      <c r="F137" s="138">
        <f>D137</f>
        <v>88.473333333333315</v>
      </c>
    </row>
    <row r="138" spans="1:6" x14ac:dyDescent="0.25">
      <c r="A138" s="259" t="s">
        <v>125</v>
      </c>
      <c r="B138" s="259"/>
      <c r="C138" s="259"/>
      <c r="D138" s="133">
        <f>D122+D125+D129+D132+D137</f>
        <v>1723.5141695303553</v>
      </c>
      <c r="F138" s="139">
        <f>F122+F125+F129+F132+F137</f>
        <v>1538.7492691867124</v>
      </c>
    </row>
    <row r="141" spans="1:6" ht="21" x14ac:dyDescent="0.35">
      <c r="A141" s="122" t="s">
        <v>139</v>
      </c>
      <c r="B141" s="123"/>
      <c r="C141" s="123"/>
      <c r="D141" s="124"/>
      <c r="E141" s="123"/>
    </row>
    <row r="142" spans="1:6" x14ac:dyDescent="0.25">
      <c r="A142" s="57" t="s">
        <v>76</v>
      </c>
      <c r="B142" s="58" t="s">
        <v>119</v>
      </c>
      <c r="C142" s="57" t="s">
        <v>78</v>
      </c>
      <c r="D142" s="125" t="s">
        <v>120</v>
      </c>
      <c r="E142" s="57" t="s">
        <v>85</v>
      </c>
    </row>
    <row r="143" spans="1:6" x14ac:dyDescent="0.25">
      <c r="A143" s="256" t="s">
        <v>121</v>
      </c>
      <c r="B143" s="257"/>
      <c r="C143" s="257"/>
      <c r="D143" s="257"/>
      <c r="E143" s="258"/>
    </row>
    <row r="144" spans="1:6" ht="30" x14ac:dyDescent="0.25">
      <c r="A144" s="134" t="s">
        <v>122</v>
      </c>
      <c r="B144" s="94">
        <f>EXTRUSION!M123</f>
        <v>1360.8558419243989</v>
      </c>
      <c r="C144" s="88">
        <v>1</v>
      </c>
      <c r="D144" s="126">
        <f>B144*C144</f>
        <v>1360.8558419243989</v>
      </c>
      <c r="E144" s="134" t="s">
        <v>132</v>
      </c>
      <c r="F144" s="140" t="s">
        <v>133</v>
      </c>
    </row>
    <row r="145" spans="1:14" x14ac:dyDescent="0.25">
      <c r="A145" s="252" t="s">
        <v>106</v>
      </c>
      <c r="B145" s="253"/>
      <c r="C145" s="254"/>
      <c r="D145" s="127">
        <f>D144</f>
        <v>1360.8558419243989</v>
      </c>
      <c r="E145" s="128"/>
      <c r="F145" s="138">
        <f>EXTRUSION!N123</f>
        <v>1197.553140893471</v>
      </c>
    </row>
    <row r="146" spans="1:14" x14ac:dyDescent="0.25">
      <c r="A146" s="256" t="s">
        <v>123</v>
      </c>
      <c r="B146" s="257"/>
      <c r="C146" s="257"/>
      <c r="D146" s="257"/>
      <c r="E146" s="258"/>
      <c r="I146" s="166" t="s">
        <v>185</v>
      </c>
    </row>
    <row r="147" spans="1:14" x14ac:dyDescent="0.25">
      <c r="A147" s="121" t="s">
        <v>116</v>
      </c>
      <c r="B147" s="94">
        <f>'ACCESSORIES &amp; OTHER PARTS'!G23</f>
        <v>27.500000000000004</v>
      </c>
      <c r="C147" s="88">
        <v>1</v>
      </c>
      <c r="D147" s="94">
        <f>B147*C147</f>
        <v>27.500000000000004</v>
      </c>
      <c r="E147" s="129"/>
      <c r="I147" s="170">
        <f>D148/3.9</f>
        <v>7.051282051282052</v>
      </c>
    </row>
    <row r="148" spans="1:14" x14ac:dyDescent="0.25">
      <c r="A148" s="252" t="s">
        <v>106</v>
      </c>
      <c r="B148" s="253"/>
      <c r="C148" s="254"/>
      <c r="D148" s="127">
        <f>SUM(D147:D147)</f>
        <v>27.500000000000004</v>
      </c>
      <c r="E148" s="130"/>
      <c r="F148" s="138">
        <f>D148</f>
        <v>27.500000000000004</v>
      </c>
      <c r="I148" s="166" t="s">
        <v>186</v>
      </c>
      <c r="L148" s="166" t="s">
        <v>187</v>
      </c>
    </row>
    <row r="149" spans="1:14" x14ac:dyDescent="0.25">
      <c r="A149" s="256" t="s">
        <v>130</v>
      </c>
      <c r="B149" s="257"/>
      <c r="C149" s="257"/>
      <c r="D149" s="257"/>
      <c r="E149" s="258"/>
      <c r="I149" s="170">
        <f>(B157*12)/3.9</f>
        <v>3.9692307692307685</v>
      </c>
      <c r="L149" s="170">
        <f>(B157*24)/3.9</f>
        <v>7.9384615384615369</v>
      </c>
      <c r="N149" s="170"/>
    </row>
    <row r="150" spans="1:14" x14ac:dyDescent="0.25">
      <c r="A150" s="135" t="s">
        <v>127</v>
      </c>
      <c r="B150" s="94">
        <f>'ACCESSORIES &amp; OTHER PARTS'!G25</f>
        <v>110.00000000000001</v>
      </c>
      <c r="C150" s="88">
        <v>1</v>
      </c>
      <c r="D150" s="126">
        <f>B150*C150</f>
        <v>110.00000000000001</v>
      </c>
      <c r="E150" s="129"/>
      <c r="F150" s="108">
        <f>(D150*(1-10%))*C150</f>
        <v>99.000000000000014</v>
      </c>
      <c r="I150" s="170">
        <f>(B158*12)/3.9</f>
        <v>3.3076923076923075</v>
      </c>
      <c r="L150" s="170">
        <f>(B158*24)/3.9</f>
        <v>6.615384615384615</v>
      </c>
      <c r="N150" s="170"/>
    </row>
    <row r="151" spans="1:14" x14ac:dyDescent="0.25">
      <c r="A151" s="97" t="s">
        <v>90</v>
      </c>
      <c r="B151" s="94">
        <f>'ACCESSORIES &amp; OTHER PARTS'!G26</f>
        <v>33</v>
      </c>
      <c r="C151" s="88">
        <v>9</v>
      </c>
      <c r="D151" s="126">
        <f t="shared" ref="D151" si="13">B151*C151</f>
        <v>297</v>
      </c>
      <c r="E151" s="129"/>
      <c r="F151" s="108">
        <f>(B151*(1-10%))*C151</f>
        <v>267.3</v>
      </c>
      <c r="I151" s="170">
        <f>D159/3.9</f>
        <v>0.85470085470085477</v>
      </c>
    </row>
    <row r="152" spans="1:14" x14ac:dyDescent="0.25">
      <c r="A152" s="252" t="s">
        <v>106</v>
      </c>
      <c r="B152" s="253"/>
      <c r="C152" s="254"/>
      <c r="D152" s="127">
        <f>SUM(D150:D151)</f>
        <v>407</v>
      </c>
      <c r="E152" s="131"/>
      <c r="F152" s="138">
        <f>SUM(F150:F151)</f>
        <v>366.3</v>
      </c>
      <c r="I152" s="170">
        <f>I147+I149+I150+I151</f>
        <v>15.182905982905982</v>
      </c>
      <c r="L152" s="170">
        <f>L147+L149+L150+L151</f>
        <v>14.553846153846152</v>
      </c>
      <c r="N152" s="170"/>
    </row>
    <row r="153" spans="1:14" x14ac:dyDescent="0.25">
      <c r="A153" s="256" t="s">
        <v>124</v>
      </c>
      <c r="B153" s="257"/>
      <c r="C153" s="257"/>
      <c r="D153" s="257"/>
      <c r="E153" s="258"/>
    </row>
    <row r="154" spans="1:14" x14ac:dyDescent="0.25">
      <c r="A154" s="101" t="s">
        <v>92</v>
      </c>
      <c r="B154" s="94">
        <f>'ACCESSORIES &amp; OTHER PARTS'!G28</f>
        <v>5.5</v>
      </c>
      <c r="C154" s="88">
        <v>1</v>
      </c>
      <c r="D154" s="94">
        <f>B154*C154</f>
        <v>5.5</v>
      </c>
      <c r="E154" s="129"/>
    </row>
    <row r="155" spans="1:14" x14ac:dyDescent="0.25">
      <c r="A155" s="252" t="s">
        <v>106</v>
      </c>
      <c r="B155" s="253"/>
      <c r="C155" s="254"/>
      <c r="D155" s="127">
        <f>SUM(D154:D154)</f>
        <v>5.5</v>
      </c>
      <c r="E155" s="132"/>
      <c r="F155" s="138">
        <f>D155</f>
        <v>5.5</v>
      </c>
    </row>
    <row r="156" spans="1:14" x14ac:dyDescent="0.25">
      <c r="A156" s="256" t="s">
        <v>129</v>
      </c>
      <c r="B156" s="257"/>
      <c r="C156" s="257"/>
      <c r="D156" s="257"/>
      <c r="E156" s="258"/>
      <c r="I156" s="166"/>
    </row>
    <row r="157" spans="1:14" x14ac:dyDescent="0.25">
      <c r="A157" s="89" t="s">
        <v>94</v>
      </c>
      <c r="B157" s="94">
        <f>'ACCESSORIES &amp; OTHER PARTS'!G30</f>
        <v>1.2899999999999998</v>
      </c>
      <c r="C157" s="88">
        <v>36</v>
      </c>
      <c r="D157" s="126">
        <f>B157*C157</f>
        <v>46.439999999999991</v>
      </c>
      <c r="E157" s="129"/>
    </row>
    <row r="158" spans="1:14" x14ac:dyDescent="0.25">
      <c r="A158" s="89" t="s">
        <v>96</v>
      </c>
      <c r="B158" s="94">
        <f>'ACCESSORIES &amp; OTHER PARTS'!G31</f>
        <v>1.075</v>
      </c>
      <c r="C158" s="88">
        <v>36</v>
      </c>
      <c r="D158" s="126">
        <f t="shared" ref="D158:D159" si="14">B158*C158</f>
        <v>38.699999999999996</v>
      </c>
      <c r="E158" s="129"/>
    </row>
    <row r="159" spans="1:14" x14ac:dyDescent="0.25">
      <c r="A159" s="121" t="s">
        <v>128</v>
      </c>
      <c r="B159" s="94">
        <f>'ACCESSORIES &amp; OTHER PARTS'!G32</f>
        <v>1.1111111111111112</v>
      </c>
      <c r="C159" s="88">
        <v>3</v>
      </c>
      <c r="D159" s="126">
        <f t="shared" si="14"/>
        <v>3.3333333333333335</v>
      </c>
      <c r="E159" s="129"/>
    </row>
    <row r="160" spans="1:14" x14ac:dyDescent="0.25">
      <c r="A160" s="252" t="s">
        <v>106</v>
      </c>
      <c r="B160" s="253"/>
      <c r="C160" s="254"/>
      <c r="D160" s="127">
        <f>SUM(D157:D159)</f>
        <v>88.473333333333315</v>
      </c>
      <c r="E160" s="137"/>
      <c r="F160" s="138">
        <f>D160</f>
        <v>88.473333333333315</v>
      </c>
    </row>
    <row r="161" spans="1:14" x14ac:dyDescent="0.25">
      <c r="A161" s="259" t="s">
        <v>125</v>
      </c>
      <c r="B161" s="259"/>
      <c r="C161" s="259"/>
      <c r="D161" s="133">
        <f>D145+D148+D152+D155+D160</f>
        <v>1889.3291752577322</v>
      </c>
      <c r="F161" s="139">
        <f>F145+F148+F152+F155+F160</f>
        <v>1685.3264742268043</v>
      </c>
    </row>
    <row r="164" spans="1:14" ht="21" x14ac:dyDescent="0.35">
      <c r="A164" s="122" t="s">
        <v>140</v>
      </c>
      <c r="B164" s="123"/>
      <c r="C164" s="123"/>
      <c r="D164" s="124"/>
      <c r="E164" s="123"/>
    </row>
    <row r="165" spans="1:14" x14ac:dyDescent="0.25">
      <c r="A165" s="57" t="s">
        <v>76</v>
      </c>
      <c r="B165" s="58" t="s">
        <v>119</v>
      </c>
      <c r="C165" s="57" t="s">
        <v>78</v>
      </c>
      <c r="D165" s="125" t="s">
        <v>120</v>
      </c>
      <c r="E165" s="57" t="s">
        <v>85</v>
      </c>
    </row>
    <row r="166" spans="1:14" x14ac:dyDescent="0.25">
      <c r="A166" s="256" t="s">
        <v>121</v>
      </c>
      <c r="B166" s="257"/>
      <c r="C166" s="257"/>
      <c r="D166" s="257"/>
      <c r="E166" s="258"/>
    </row>
    <row r="167" spans="1:14" ht="30" x14ac:dyDescent="0.25">
      <c r="A167" s="134" t="s">
        <v>122</v>
      </c>
      <c r="B167" s="94">
        <f>EXTRUSION!M142</f>
        <v>1543.6637170675835</v>
      </c>
      <c r="C167" s="88">
        <v>1</v>
      </c>
      <c r="D167" s="126">
        <f>B167*C167</f>
        <v>1543.6637170675835</v>
      </c>
      <c r="E167" s="134" t="s">
        <v>132</v>
      </c>
      <c r="F167" s="140" t="s">
        <v>133</v>
      </c>
    </row>
    <row r="168" spans="1:14" x14ac:dyDescent="0.25">
      <c r="A168" s="252" t="s">
        <v>106</v>
      </c>
      <c r="B168" s="253"/>
      <c r="C168" s="254"/>
      <c r="D168" s="127">
        <f>D167</f>
        <v>1543.6637170675835</v>
      </c>
      <c r="E168" s="128"/>
      <c r="F168" s="138">
        <f>EXTRUSION!N142</f>
        <v>1358.4240710194733</v>
      </c>
    </row>
    <row r="169" spans="1:14" x14ac:dyDescent="0.25">
      <c r="A169" s="256" t="s">
        <v>123</v>
      </c>
      <c r="B169" s="257"/>
      <c r="C169" s="257"/>
      <c r="D169" s="257"/>
      <c r="E169" s="258"/>
      <c r="I169" s="166" t="s">
        <v>185</v>
      </c>
    </row>
    <row r="170" spans="1:14" x14ac:dyDescent="0.25">
      <c r="A170" s="121" t="s">
        <v>116</v>
      </c>
      <c r="B170" s="94">
        <f>'ACCESSORIES &amp; OTHER PARTS'!G23</f>
        <v>27.500000000000004</v>
      </c>
      <c r="C170" s="88">
        <v>1</v>
      </c>
      <c r="D170" s="94">
        <f>B170*C170</f>
        <v>27.500000000000004</v>
      </c>
      <c r="E170" s="129"/>
      <c r="I170" s="170">
        <f>D171/3.9</f>
        <v>7.051282051282052</v>
      </c>
    </row>
    <row r="171" spans="1:14" x14ac:dyDescent="0.25">
      <c r="A171" s="252" t="s">
        <v>106</v>
      </c>
      <c r="B171" s="253"/>
      <c r="C171" s="254"/>
      <c r="D171" s="127">
        <f>SUM(D170:D170)</f>
        <v>27.500000000000004</v>
      </c>
      <c r="E171" s="130"/>
      <c r="F171" s="138">
        <f>D171</f>
        <v>27.500000000000004</v>
      </c>
      <c r="I171" s="166" t="s">
        <v>186</v>
      </c>
      <c r="L171" s="166" t="s">
        <v>187</v>
      </c>
    </row>
    <row r="172" spans="1:14" x14ac:dyDescent="0.25">
      <c r="A172" s="256" t="s">
        <v>130</v>
      </c>
      <c r="B172" s="257"/>
      <c r="C172" s="257"/>
      <c r="D172" s="257"/>
      <c r="E172" s="258"/>
      <c r="I172" s="170">
        <f>(B180*12)/3.9</f>
        <v>3.9692307692307685</v>
      </c>
      <c r="L172" s="170">
        <f>(B180*36)/3.9</f>
        <v>11.907692307692306</v>
      </c>
      <c r="N172" s="170"/>
    </row>
    <row r="173" spans="1:14" x14ac:dyDescent="0.25">
      <c r="A173" s="135" t="s">
        <v>127</v>
      </c>
      <c r="B173" s="94">
        <f>'ACCESSORIES &amp; OTHER PARTS'!G25</f>
        <v>110.00000000000001</v>
      </c>
      <c r="C173" s="88">
        <v>1</v>
      </c>
      <c r="D173" s="126">
        <f>B173*C173</f>
        <v>110.00000000000001</v>
      </c>
      <c r="E173" s="129"/>
      <c r="F173" s="108">
        <f>(D173*(1-10%))*C173</f>
        <v>99.000000000000014</v>
      </c>
      <c r="I173" s="170">
        <f>(B181*12)/3.9</f>
        <v>3.3076923076923075</v>
      </c>
      <c r="L173" s="170">
        <f>(B181*36)/3.9</f>
        <v>9.9230769230769216</v>
      </c>
      <c r="N173" s="170"/>
    </row>
    <row r="174" spans="1:14" x14ac:dyDescent="0.25">
      <c r="A174" s="97" t="s">
        <v>90</v>
      </c>
      <c r="B174" s="94">
        <f>'ACCESSORIES &amp; OTHER PARTS'!G26</f>
        <v>33</v>
      </c>
      <c r="C174" s="88">
        <v>10</v>
      </c>
      <c r="D174" s="126">
        <f t="shared" ref="D174" si="15">B174*C174</f>
        <v>330</v>
      </c>
      <c r="E174" s="129"/>
      <c r="F174" s="108">
        <f>(B174*(1-10%))*C174</f>
        <v>297</v>
      </c>
      <c r="I174" s="170">
        <f>D182/3.9</f>
        <v>0.85470085470085477</v>
      </c>
    </row>
    <row r="175" spans="1:14" x14ac:dyDescent="0.25">
      <c r="A175" s="252" t="s">
        <v>106</v>
      </c>
      <c r="B175" s="253"/>
      <c r="C175" s="254"/>
      <c r="D175" s="127">
        <f>SUM(D173:D174)</f>
        <v>440</v>
      </c>
      <c r="E175" s="131"/>
      <c r="F175" s="138">
        <f>SUM(F173:F174)</f>
        <v>396</v>
      </c>
      <c r="I175" s="170">
        <f>I170+I172+I173+I174</f>
        <v>15.182905982905982</v>
      </c>
      <c r="L175" s="170">
        <f>L170+L172+L173+L174</f>
        <v>21.830769230769228</v>
      </c>
      <c r="N175" s="170"/>
    </row>
    <row r="176" spans="1:14" x14ac:dyDescent="0.25">
      <c r="A176" s="256" t="s">
        <v>124</v>
      </c>
      <c r="B176" s="257"/>
      <c r="C176" s="257"/>
      <c r="D176" s="257"/>
      <c r="E176" s="258"/>
    </row>
    <row r="177" spans="1:6" x14ac:dyDescent="0.25">
      <c r="A177" s="101" t="s">
        <v>92</v>
      </c>
      <c r="B177" s="94">
        <f>'ACCESSORIES &amp; OTHER PARTS'!G28</f>
        <v>5.5</v>
      </c>
      <c r="C177" s="88">
        <v>1</v>
      </c>
      <c r="D177" s="94">
        <f>B177*C177</f>
        <v>5.5</v>
      </c>
      <c r="E177" s="129"/>
    </row>
    <row r="178" spans="1:6" x14ac:dyDescent="0.25">
      <c r="A178" s="252" t="s">
        <v>106</v>
      </c>
      <c r="B178" s="253"/>
      <c r="C178" s="254"/>
      <c r="D178" s="127">
        <f>SUM(D177:D177)</f>
        <v>5.5</v>
      </c>
      <c r="E178" s="132"/>
      <c r="F178" s="138">
        <f>D178</f>
        <v>5.5</v>
      </c>
    </row>
    <row r="179" spans="1:6" x14ac:dyDescent="0.25">
      <c r="A179" s="256" t="s">
        <v>129</v>
      </c>
      <c r="B179" s="257"/>
      <c r="C179" s="257"/>
      <c r="D179" s="257"/>
      <c r="E179" s="258"/>
    </row>
    <row r="180" spans="1:6" x14ac:dyDescent="0.25">
      <c r="A180" s="89" t="s">
        <v>94</v>
      </c>
      <c r="B180" s="94">
        <f>'ACCESSORIES &amp; OTHER PARTS'!G30</f>
        <v>1.2899999999999998</v>
      </c>
      <c r="C180" s="88">
        <v>48</v>
      </c>
      <c r="D180" s="126">
        <f>B180*C180</f>
        <v>61.919999999999987</v>
      </c>
      <c r="E180" s="129"/>
    </row>
    <row r="181" spans="1:6" x14ac:dyDescent="0.25">
      <c r="A181" s="89" t="s">
        <v>96</v>
      </c>
      <c r="B181" s="94">
        <f>'ACCESSORIES &amp; OTHER PARTS'!G31</f>
        <v>1.075</v>
      </c>
      <c r="C181" s="88">
        <v>48</v>
      </c>
      <c r="D181" s="126">
        <f t="shared" ref="D181:D182" si="16">B181*C181</f>
        <v>51.599999999999994</v>
      </c>
      <c r="E181" s="129"/>
    </row>
    <row r="182" spans="1:6" x14ac:dyDescent="0.25">
      <c r="A182" s="121" t="s">
        <v>128</v>
      </c>
      <c r="B182" s="94">
        <f>'ACCESSORIES &amp; OTHER PARTS'!G32</f>
        <v>1.1111111111111112</v>
      </c>
      <c r="C182" s="88">
        <v>3</v>
      </c>
      <c r="D182" s="126">
        <f t="shared" si="16"/>
        <v>3.3333333333333335</v>
      </c>
      <c r="E182" s="129"/>
    </row>
    <row r="183" spans="1:6" x14ac:dyDescent="0.25">
      <c r="A183" s="252" t="s">
        <v>106</v>
      </c>
      <c r="B183" s="253"/>
      <c r="C183" s="254"/>
      <c r="D183" s="127">
        <f>SUM(D180:D182)</f>
        <v>116.85333333333331</v>
      </c>
      <c r="E183" s="137"/>
      <c r="F183" s="138">
        <f>D183</f>
        <v>116.85333333333331</v>
      </c>
    </row>
    <row r="184" spans="1:6" x14ac:dyDescent="0.25">
      <c r="A184" s="259" t="s">
        <v>125</v>
      </c>
      <c r="B184" s="259"/>
      <c r="C184" s="259"/>
      <c r="D184" s="133">
        <f>D168+D171+D175+D178+D183</f>
        <v>2133.517050400917</v>
      </c>
      <c r="F184" s="139">
        <f>F168+F171+F175+F178+F183</f>
        <v>1904.2774043528066</v>
      </c>
    </row>
  </sheetData>
  <mergeCells count="88">
    <mergeCell ref="A176:E176"/>
    <mergeCell ref="A178:C178"/>
    <mergeCell ref="A179:E179"/>
    <mergeCell ref="A183:C183"/>
    <mergeCell ref="A184:C184"/>
    <mergeCell ref="A175:C175"/>
    <mergeCell ref="A152:C152"/>
    <mergeCell ref="A153:E153"/>
    <mergeCell ref="A155:C155"/>
    <mergeCell ref="A156:E156"/>
    <mergeCell ref="A160:C160"/>
    <mergeCell ref="A161:C161"/>
    <mergeCell ref="A166:E166"/>
    <mergeCell ref="A168:C168"/>
    <mergeCell ref="A169:E169"/>
    <mergeCell ref="A171:C171"/>
    <mergeCell ref="A172:E172"/>
    <mergeCell ref="A149:E149"/>
    <mergeCell ref="A126:E126"/>
    <mergeCell ref="A129:C129"/>
    <mergeCell ref="A130:E130"/>
    <mergeCell ref="A132:C132"/>
    <mergeCell ref="A133:E133"/>
    <mergeCell ref="A137:C137"/>
    <mergeCell ref="A138:C138"/>
    <mergeCell ref="A143:E143"/>
    <mergeCell ref="A145:C145"/>
    <mergeCell ref="A146:E146"/>
    <mergeCell ref="A148:C148"/>
    <mergeCell ref="A125:C125"/>
    <mergeCell ref="A102:C102"/>
    <mergeCell ref="A103:E103"/>
    <mergeCell ref="A106:C106"/>
    <mergeCell ref="A107:E107"/>
    <mergeCell ref="A109:C109"/>
    <mergeCell ref="A110:E110"/>
    <mergeCell ref="A114:C114"/>
    <mergeCell ref="A115:C115"/>
    <mergeCell ref="A120:E120"/>
    <mergeCell ref="A122:C122"/>
    <mergeCell ref="A123:E123"/>
    <mergeCell ref="A100:E100"/>
    <mergeCell ref="A77:E77"/>
    <mergeCell ref="A79:C79"/>
    <mergeCell ref="A80:E80"/>
    <mergeCell ref="A83:C83"/>
    <mergeCell ref="A84:E84"/>
    <mergeCell ref="A86:C86"/>
    <mergeCell ref="A87:E87"/>
    <mergeCell ref="A91:C91"/>
    <mergeCell ref="A92:C92"/>
    <mergeCell ref="A97:E97"/>
    <mergeCell ref="A99:C99"/>
    <mergeCell ref="A76:C76"/>
    <mergeCell ref="A53:C53"/>
    <mergeCell ref="A54:E54"/>
    <mergeCell ref="A56:C56"/>
    <mergeCell ref="A57:E57"/>
    <mergeCell ref="A60:C60"/>
    <mergeCell ref="A61:E61"/>
    <mergeCell ref="A63:C63"/>
    <mergeCell ref="A64:E64"/>
    <mergeCell ref="A68:C68"/>
    <mergeCell ref="A69:C69"/>
    <mergeCell ref="A74:E74"/>
    <mergeCell ref="A51:E51"/>
    <mergeCell ref="A28:E28"/>
    <mergeCell ref="A30:C30"/>
    <mergeCell ref="A31:E31"/>
    <mergeCell ref="A33:C33"/>
    <mergeCell ref="A34:E34"/>
    <mergeCell ref="A37:C37"/>
    <mergeCell ref="A38:E38"/>
    <mergeCell ref="A40:C40"/>
    <mergeCell ref="A41:E41"/>
    <mergeCell ref="A45:C45"/>
    <mergeCell ref="A46:C46"/>
    <mergeCell ref="A15:E15"/>
    <mergeCell ref="A17:C17"/>
    <mergeCell ref="A23:C23"/>
    <mergeCell ref="A18:E18"/>
    <mergeCell ref="A22:C22"/>
    <mergeCell ref="A14:C14"/>
    <mergeCell ref="A5:E5"/>
    <mergeCell ref="A7:C7"/>
    <mergeCell ref="A8:E8"/>
    <mergeCell ref="A10:C10"/>
    <mergeCell ref="A11:E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DA69-F52D-4D72-A1CD-75F45481B572}">
  <dimension ref="A1:H128"/>
  <sheetViews>
    <sheetView topLeftCell="A52" workbookViewId="0">
      <selection activeCell="L70" sqref="L70"/>
    </sheetView>
  </sheetViews>
  <sheetFormatPr defaultRowHeight="15" x14ac:dyDescent="0.25"/>
  <cols>
    <col min="1" max="1" width="55.28515625" customWidth="1"/>
    <col min="2" max="4" width="22" customWidth="1"/>
    <col min="5" max="5" width="65.5703125" customWidth="1"/>
  </cols>
  <sheetData>
    <row r="1" spans="1:8" ht="26.25" x14ac:dyDescent="0.4">
      <c r="A1" s="141" t="s">
        <v>148</v>
      </c>
    </row>
    <row r="3" spans="1:8" ht="21" x14ac:dyDescent="0.35">
      <c r="A3" s="122" t="s">
        <v>126</v>
      </c>
      <c r="B3" s="123"/>
      <c r="C3" s="123"/>
      <c r="D3" s="123"/>
      <c r="E3" s="123"/>
      <c r="F3" s="124"/>
      <c r="G3" s="123"/>
      <c r="H3" s="108"/>
    </row>
    <row r="4" spans="1:8" x14ac:dyDescent="0.25">
      <c r="A4" s="260" t="s">
        <v>76</v>
      </c>
      <c r="B4" s="223" t="s">
        <v>152</v>
      </c>
      <c r="C4" s="223" t="s">
        <v>153</v>
      </c>
      <c r="D4" s="223" t="s">
        <v>153</v>
      </c>
      <c r="E4" s="223" t="s">
        <v>85</v>
      </c>
    </row>
    <row r="5" spans="1:8" ht="46.5" customHeight="1" x14ac:dyDescent="0.25">
      <c r="A5" s="261"/>
      <c r="B5" s="262"/>
      <c r="C5" s="262"/>
      <c r="D5" s="262"/>
      <c r="E5" s="262"/>
    </row>
    <row r="6" spans="1:8" x14ac:dyDescent="0.25">
      <c r="A6" s="142" t="s">
        <v>141</v>
      </c>
      <c r="B6" s="94">
        <f>'TO QUOTE EA (NAR PARTS)'!D7</f>
        <v>445.77560137457044</v>
      </c>
      <c r="C6" s="94">
        <f>'TO QUOTE EA (NAR PARTS)'!F7</f>
        <v>392.282529209622</v>
      </c>
      <c r="D6" s="94">
        <f>EXTRUSION!O17*3.9</f>
        <v>392.282529209622</v>
      </c>
      <c r="E6" s="143"/>
    </row>
    <row r="7" spans="1:8" x14ac:dyDescent="0.25">
      <c r="A7" s="150" t="s">
        <v>150</v>
      </c>
      <c r="B7" s="94">
        <f>'TO QUOTE EA (NAR PARTS)'!D10</f>
        <v>27.500000000000004</v>
      </c>
      <c r="C7" s="94">
        <f>B7</f>
        <v>27.500000000000004</v>
      </c>
      <c r="D7" s="94">
        <f>C7</f>
        <v>27.500000000000004</v>
      </c>
      <c r="E7" s="143"/>
    </row>
    <row r="8" spans="1:8" x14ac:dyDescent="0.25">
      <c r="A8" s="150" t="s">
        <v>151</v>
      </c>
      <c r="B8" s="94">
        <f>'TO QUOTE EA (NAR PARTS)'!D14</f>
        <v>209</v>
      </c>
      <c r="C8" s="94">
        <f>'TO QUOTE EA (NAR PARTS)'!F14</f>
        <v>188.10000000000002</v>
      </c>
      <c r="D8" s="94">
        <f>C8</f>
        <v>188.10000000000002</v>
      </c>
      <c r="E8" s="143"/>
    </row>
    <row r="9" spans="1:8" x14ac:dyDescent="0.25">
      <c r="A9" s="62" t="s">
        <v>142</v>
      </c>
      <c r="B9" s="94">
        <f>'TO QUOTE EA (NAR PARTS)'!D17</f>
        <v>5.5</v>
      </c>
      <c r="C9" s="94">
        <f>B9</f>
        <v>5.5</v>
      </c>
      <c r="D9" s="94">
        <f>C9</f>
        <v>5.5</v>
      </c>
      <c r="E9" s="143"/>
    </row>
    <row r="10" spans="1:8" x14ac:dyDescent="0.25">
      <c r="A10" s="151" t="s">
        <v>149</v>
      </c>
      <c r="B10" s="94">
        <f>'TO QUOTE EA (NAR PARTS)'!D22</f>
        <v>31.713333333333328</v>
      </c>
      <c r="C10" s="94">
        <f t="shared" ref="C10:D13" si="0">B10</f>
        <v>31.713333333333328</v>
      </c>
      <c r="D10" s="94">
        <f t="shared" si="0"/>
        <v>31.713333333333328</v>
      </c>
      <c r="E10" s="143"/>
    </row>
    <row r="11" spans="1:8" x14ac:dyDescent="0.25">
      <c r="A11" s="144" t="s">
        <v>143</v>
      </c>
      <c r="B11" s="94">
        <f>'ACCESSORIES &amp; OTHER PARTS'!E40</f>
        <v>10.56</v>
      </c>
      <c r="C11" s="94">
        <f t="shared" si="0"/>
        <v>10.56</v>
      </c>
      <c r="D11" s="94">
        <f t="shared" si="0"/>
        <v>10.56</v>
      </c>
      <c r="E11" s="143"/>
    </row>
    <row r="12" spans="1:8" x14ac:dyDescent="0.25">
      <c r="A12" s="144" t="s">
        <v>144</v>
      </c>
      <c r="B12" s="94">
        <f>'ACCESSORIES &amp; OTHER PARTS'!E46</f>
        <v>20.792000000000002</v>
      </c>
      <c r="C12" s="94">
        <f t="shared" si="0"/>
        <v>20.792000000000002</v>
      </c>
      <c r="D12" s="94">
        <f t="shared" si="0"/>
        <v>20.792000000000002</v>
      </c>
      <c r="E12" s="143"/>
    </row>
    <row r="13" spans="1:8" x14ac:dyDescent="0.25">
      <c r="A13" s="144" t="s">
        <v>114</v>
      </c>
      <c r="B13" s="94">
        <f>'ACCESSORIES &amp; OTHER PARTS'!E49</f>
        <v>35</v>
      </c>
      <c r="C13" s="94">
        <f t="shared" si="0"/>
        <v>35</v>
      </c>
      <c r="D13" s="94">
        <f t="shared" si="0"/>
        <v>35</v>
      </c>
      <c r="E13" s="143"/>
    </row>
    <row r="14" spans="1:8" x14ac:dyDescent="0.25">
      <c r="A14" s="113" t="s">
        <v>145</v>
      </c>
      <c r="B14" s="138">
        <f>SUM(B6:B13)</f>
        <v>785.84093470790378</v>
      </c>
      <c r="C14" s="138">
        <f>SUM(C6:C13)</f>
        <v>711.44786254295536</v>
      </c>
      <c r="D14" s="138">
        <f>SUM(D6:D13)</f>
        <v>711.44786254295536</v>
      </c>
      <c r="E14" s="145"/>
    </row>
    <row r="15" spans="1:8" x14ac:dyDescent="0.25">
      <c r="A15" s="113" t="s">
        <v>146</v>
      </c>
      <c r="B15" s="146">
        <f>B14/3.8</f>
        <v>206.80024597576417</v>
      </c>
      <c r="C15" s="146">
        <f>C14/3.8</f>
        <v>187.22312172183038</v>
      </c>
      <c r="D15" s="146">
        <f>D14/3.8</f>
        <v>187.22312172183038</v>
      </c>
      <c r="E15" s="145" t="s">
        <v>154</v>
      </c>
    </row>
    <row r="16" spans="1:8" x14ac:dyDescent="0.25">
      <c r="A16" s="147" t="s">
        <v>147</v>
      </c>
      <c r="B16" s="148">
        <v>207</v>
      </c>
      <c r="C16" s="148">
        <v>188</v>
      </c>
      <c r="D16" s="148">
        <v>188</v>
      </c>
      <c r="E16" s="149"/>
    </row>
    <row r="19" spans="1:5" ht="21" x14ac:dyDescent="0.35">
      <c r="A19" s="122" t="s">
        <v>155</v>
      </c>
      <c r="B19" s="123"/>
      <c r="C19" s="123"/>
      <c r="D19" s="123"/>
      <c r="E19" s="123"/>
    </row>
    <row r="20" spans="1:5" x14ac:dyDescent="0.25">
      <c r="A20" s="260" t="s">
        <v>76</v>
      </c>
      <c r="B20" s="223" t="s">
        <v>152</v>
      </c>
      <c r="C20" s="223" t="s">
        <v>153</v>
      </c>
      <c r="D20" s="223" t="s">
        <v>153</v>
      </c>
      <c r="E20" s="223" t="s">
        <v>85</v>
      </c>
    </row>
    <row r="21" spans="1:5" ht="48" customHeight="1" x14ac:dyDescent="0.25">
      <c r="A21" s="261"/>
      <c r="B21" s="262"/>
      <c r="C21" s="262"/>
      <c r="D21" s="262"/>
      <c r="E21" s="262"/>
    </row>
    <row r="22" spans="1:5" x14ac:dyDescent="0.25">
      <c r="A22" s="142" t="s">
        <v>141</v>
      </c>
      <c r="B22" s="94">
        <f>'TO QUOTE EA (NAR PARTS)'!D30</f>
        <v>494.5699885452463</v>
      </c>
      <c r="C22" s="94">
        <f>'TO QUOTE EA (NAR PARTS)'!F30</f>
        <v>435.22158991981672</v>
      </c>
      <c r="D22" s="94">
        <f>'TO QUOTE EA (NAR PARTS)'!G30</f>
        <v>0</v>
      </c>
      <c r="E22" s="143"/>
    </row>
    <row r="23" spans="1:5" x14ac:dyDescent="0.25">
      <c r="A23" s="150" t="s">
        <v>150</v>
      </c>
      <c r="B23" s="94">
        <f>$B$7</f>
        <v>27.500000000000004</v>
      </c>
      <c r="C23" s="94">
        <f>B23</f>
        <v>27.500000000000004</v>
      </c>
      <c r="D23" s="94">
        <f>C23</f>
        <v>27.500000000000004</v>
      </c>
      <c r="E23" s="143"/>
    </row>
    <row r="24" spans="1:5" x14ac:dyDescent="0.25">
      <c r="A24" s="150" t="s">
        <v>151</v>
      </c>
      <c r="B24" s="94">
        <f>'TO QUOTE EA (NAR PARTS)'!D37</f>
        <v>242</v>
      </c>
      <c r="C24" s="94">
        <f>'TO QUOTE EA (NAR PARTS)'!F37</f>
        <v>217.8</v>
      </c>
      <c r="D24" s="94">
        <f>'TO QUOTE EA (NAR PARTS)'!G37</f>
        <v>0</v>
      </c>
      <c r="E24" s="143"/>
    </row>
    <row r="25" spans="1:5" x14ac:dyDescent="0.25">
      <c r="A25" s="62" t="s">
        <v>142</v>
      </c>
      <c r="B25" s="94">
        <f>$B$9</f>
        <v>5.5</v>
      </c>
      <c r="C25" s="94">
        <f>B25</f>
        <v>5.5</v>
      </c>
      <c r="D25" s="94">
        <f>C25</f>
        <v>5.5</v>
      </c>
      <c r="E25" s="143"/>
    </row>
    <row r="26" spans="1:5" x14ac:dyDescent="0.25">
      <c r="A26" s="151" t="s">
        <v>149</v>
      </c>
      <c r="B26" s="94">
        <f>$B$10</f>
        <v>31.713333333333328</v>
      </c>
      <c r="C26" s="94">
        <f t="shared" ref="C26:D29" si="1">B26</f>
        <v>31.713333333333328</v>
      </c>
      <c r="D26" s="94">
        <f t="shared" si="1"/>
        <v>31.713333333333328</v>
      </c>
      <c r="E26" s="143"/>
    </row>
    <row r="27" spans="1:5" x14ac:dyDescent="0.25">
      <c r="A27" s="144" t="s">
        <v>143</v>
      </c>
      <c r="B27" s="94">
        <f>$B$11</f>
        <v>10.56</v>
      </c>
      <c r="C27" s="94">
        <f t="shared" si="1"/>
        <v>10.56</v>
      </c>
      <c r="D27" s="94">
        <f t="shared" si="1"/>
        <v>10.56</v>
      </c>
      <c r="E27" s="143"/>
    </row>
    <row r="28" spans="1:5" x14ac:dyDescent="0.25">
      <c r="A28" s="144" t="s">
        <v>144</v>
      </c>
      <c r="B28" s="94">
        <f>$B$12</f>
        <v>20.792000000000002</v>
      </c>
      <c r="C28" s="94">
        <f t="shared" si="1"/>
        <v>20.792000000000002</v>
      </c>
      <c r="D28" s="94">
        <f t="shared" si="1"/>
        <v>20.792000000000002</v>
      </c>
      <c r="E28" s="143"/>
    </row>
    <row r="29" spans="1:5" x14ac:dyDescent="0.25">
      <c r="A29" s="144" t="s">
        <v>114</v>
      </c>
      <c r="B29" s="94">
        <f>$B$13</f>
        <v>35</v>
      </c>
      <c r="C29" s="94">
        <f t="shared" si="1"/>
        <v>35</v>
      </c>
      <c r="D29" s="94">
        <f t="shared" si="1"/>
        <v>35</v>
      </c>
      <c r="E29" s="143"/>
    </row>
    <row r="30" spans="1:5" x14ac:dyDescent="0.25">
      <c r="A30" s="113" t="s">
        <v>145</v>
      </c>
      <c r="B30" s="138">
        <f>SUM(B22:B29)</f>
        <v>867.6353218785797</v>
      </c>
      <c r="C30" s="138">
        <f>SUM(C22:C29)</f>
        <v>784.08692325315008</v>
      </c>
      <c r="D30" s="138">
        <f>SUM(D22:D29)</f>
        <v>131.06533333333334</v>
      </c>
      <c r="E30" s="145"/>
    </row>
    <row r="31" spans="1:5" x14ac:dyDescent="0.25">
      <c r="A31" s="113" t="s">
        <v>146</v>
      </c>
      <c r="B31" s="146">
        <f>B30/3.8</f>
        <v>228.32508470488941</v>
      </c>
      <c r="C31" s="146">
        <f>C30/3.8</f>
        <v>206.33866401398686</v>
      </c>
      <c r="D31" s="146">
        <f>D30/3.8</f>
        <v>34.49087719298246</v>
      </c>
      <c r="E31" s="145" t="s">
        <v>154</v>
      </c>
    </row>
    <row r="32" spans="1:5" x14ac:dyDescent="0.25">
      <c r="A32" s="147" t="s">
        <v>147</v>
      </c>
      <c r="B32" s="148">
        <v>229</v>
      </c>
      <c r="C32" s="148">
        <v>207</v>
      </c>
      <c r="D32" s="148">
        <v>213</v>
      </c>
      <c r="E32" s="149"/>
    </row>
    <row r="35" spans="1:5" ht="21" x14ac:dyDescent="0.35">
      <c r="A35" s="122" t="s">
        <v>156</v>
      </c>
      <c r="B35" s="123"/>
      <c r="C35" s="123"/>
      <c r="D35" s="123"/>
      <c r="E35" s="123"/>
    </row>
    <row r="36" spans="1:5" x14ac:dyDescent="0.25">
      <c r="A36" s="260" t="s">
        <v>76</v>
      </c>
      <c r="B36" s="223" t="s">
        <v>152</v>
      </c>
      <c r="C36" s="223" t="s">
        <v>153</v>
      </c>
      <c r="D36" s="223" t="s">
        <v>153</v>
      </c>
      <c r="E36" s="223" t="s">
        <v>85</v>
      </c>
    </row>
    <row r="37" spans="1:5" ht="51" customHeight="1" x14ac:dyDescent="0.25">
      <c r="A37" s="261"/>
      <c r="B37" s="262"/>
      <c r="C37" s="262"/>
      <c r="D37" s="262"/>
      <c r="E37" s="262"/>
    </row>
    <row r="38" spans="1:5" x14ac:dyDescent="0.25">
      <c r="A38" s="142" t="s">
        <v>141</v>
      </c>
      <c r="B38" s="94">
        <f>'TO QUOTE EA (NAR PARTS)'!D53</f>
        <v>543.36437571592216</v>
      </c>
      <c r="C38" s="94">
        <f>'TO QUOTE EA (NAR PARTS)'!F53</f>
        <v>478.16065063001145</v>
      </c>
      <c r="D38" s="94">
        <f>'TO QUOTE EA (NAR PARTS)'!G53</f>
        <v>0</v>
      </c>
      <c r="E38" s="143"/>
    </row>
    <row r="39" spans="1:5" x14ac:dyDescent="0.25">
      <c r="A39" s="150" t="s">
        <v>150</v>
      </c>
      <c r="B39" s="94">
        <f>$B$7</f>
        <v>27.500000000000004</v>
      </c>
      <c r="C39" s="94">
        <f>B39</f>
        <v>27.500000000000004</v>
      </c>
      <c r="D39" s="94">
        <f>C39</f>
        <v>27.500000000000004</v>
      </c>
      <c r="E39" s="143"/>
    </row>
    <row r="40" spans="1:5" x14ac:dyDescent="0.25">
      <c r="A40" s="150" t="s">
        <v>151</v>
      </c>
      <c r="B40" s="94">
        <f>'TO QUOTE EA (NAR PARTS)'!D60</f>
        <v>275</v>
      </c>
      <c r="C40" s="94">
        <f>'TO QUOTE EA (NAR PARTS)'!F60</f>
        <v>247.5</v>
      </c>
      <c r="D40" s="94">
        <f>'TO QUOTE EA (NAR PARTS)'!G60</f>
        <v>0</v>
      </c>
      <c r="E40" s="143"/>
    </row>
    <row r="41" spans="1:5" x14ac:dyDescent="0.25">
      <c r="A41" s="62" t="s">
        <v>142</v>
      </c>
      <c r="B41" s="94">
        <f>$B$9</f>
        <v>5.5</v>
      </c>
      <c r="C41" s="94">
        <f>B41</f>
        <v>5.5</v>
      </c>
      <c r="D41" s="94">
        <f>C41</f>
        <v>5.5</v>
      </c>
      <c r="E41" s="143"/>
    </row>
    <row r="42" spans="1:5" x14ac:dyDescent="0.25">
      <c r="A42" s="151" t="s">
        <v>149</v>
      </c>
      <c r="B42" s="94">
        <f>$B$10</f>
        <v>31.713333333333328</v>
      </c>
      <c r="C42" s="94">
        <f t="shared" ref="C42:D45" si="2">B42</f>
        <v>31.713333333333328</v>
      </c>
      <c r="D42" s="94">
        <f t="shared" si="2"/>
        <v>31.713333333333328</v>
      </c>
      <c r="E42" s="143"/>
    </row>
    <row r="43" spans="1:5" x14ac:dyDescent="0.25">
      <c r="A43" s="144" t="s">
        <v>143</v>
      </c>
      <c r="B43" s="94">
        <f>$B$11</f>
        <v>10.56</v>
      </c>
      <c r="C43" s="94">
        <f t="shared" si="2"/>
        <v>10.56</v>
      </c>
      <c r="D43" s="94">
        <f t="shared" si="2"/>
        <v>10.56</v>
      </c>
      <c r="E43" s="143"/>
    </row>
    <row r="44" spans="1:5" x14ac:dyDescent="0.25">
      <c r="A44" s="144" t="s">
        <v>144</v>
      </c>
      <c r="B44" s="94">
        <f>$B$12</f>
        <v>20.792000000000002</v>
      </c>
      <c r="C44" s="94">
        <f t="shared" si="2"/>
        <v>20.792000000000002</v>
      </c>
      <c r="D44" s="94">
        <f t="shared" si="2"/>
        <v>20.792000000000002</v>
      </c>
      <c r="E44" s="143"/>
    </row>
    <row r="45" spans="1:5" x14ac:dyDescent="0.25">
      <c r="A45" s="144" t="s">
        <v>114</v>
      </c>
      <c r="B45" s="94">
        <f>$B$13</f>
        <v>35</v>
      </c>
      <c r="C45" s="94">
        <f t="shared" si="2"/>
        <v>35</v>
      </c>
      <c r="D45" s="94">
        <f t="shared" si="2"/>
        <v>35</v>
      </c>
      <c r="E45" s="143"/>
    </row>
    <row r="46" spans="1:5" x14ac:dyDescent="0.25">
      <c r="A46" s="113" t="s">
        <v>145</v>
      </c>
      <c r="B46" s="138">
        <f>SUM(B38:B45)</f>
        <v>949.42970904925551</v>
      </c>
      <c r="C46" s="138">
        <f>SUM(C38:C45)</f>
        <v>856.72598396334479</v>
      </c>
      <c r="D46" s="138">
        <f>SUM(D38:D45)</f>
        <v>131.06533333333334</v>
      </c>
      <c r="E46" s="145"/>
    </row>
    <row r="47" spans="1:5" x14ac:dyDescent="0.25">
      <c r="A47" s="113" t="s">
        <v>146</v>
      </c>
      <c r="B47" s="146">
        <f>B46/3.8</f>
        <v>249.84992343401461</v>
      </c>
      <c r="C47" s="146">
        <f>C46/3.8</f>
        <v>225.45420630614336</v>
      </c>
      <c r="D47" s="146">
        <f>D46/3.8</f>
        <v>34.49087719298246</v>
      </c>
      <c r="E47" s="145" t="s">
        <v>154</v>
      </c>
    </row>
    <row r="48" spans="1:5" x14ac:dyDescent="0.25">
      <c r="A48" s="147" t="s">
        <v>147</v>
      </c>
      <c r="B48" s="148">
        <v>250</v>
      </c>
      <c r="C48" s="148">
        <v>226</v>
      </c>
      <c r="D48" s="148">
        <v>226</v>
      </c>
      <c r="E48" s="149"/>
    </row>
    <row r="51" spans="1:5" ht="21" x14ac:dyDescent="0.35">
      <c r="A51" s="122" t="s">
        <v>157</v>
      </c>
      <c r="B51" s="123"/>
      <c r="C51" s="123"/>
      <c r="D51" s="123"/>
      <c r="E51" s="123"/>
    </row>
    <row r="52" spans="1:5" x14ac:dyDescent="0.25">
      <c r="A52" s="260" t="s">
        <v>76</v>
      </c>
      <c r="B52" s="223" t="s">
        <v>152</v>
      </c>
      <c r="C52" s="223" t="s">
        <v>153</v>
      </c>
      <c r="D52" s="223" t="s">
        <v>153</v>
      </c>
      <c r="E52" s="223" t="s">
        <v>85</v>
      </c>
    </row>
    <row r="53" spans="1:5" ht="52.5" customHeight="1" x14ac:dyDescent="0.25">
      <c r="A53" s="261"/>
      <c r="B53" s="262"/>
      <c r="C53" s="262"/>
      <c r="D53" s="262"/>
      <c r="E53" s="262"/>
    </row>
    <row r="54" spans="1:5" x14ac:dyDescent="0.25">
      <c r="A54" s="142" t="s">
        <v>141</v>
      </c>
      <c r="B54" s="94">
        <f>'TO QUOTE EA (NAR PARTS)'!D76</f>
        <v>592.15876288659786</v>
      </c>
      <c r="C54" s="94">
        <f>'TO QUOTE EA (NAR PARTS)'!F76</f>
        <v>521.09971134020611</v>
      </c>
      <c r="D54" s="94">
        <f>'TO QUOTE EA (NAR PARTS)'!G76</f>
        <v>0</v>
      </c>
      <c r="E54" s="143"/>
    </row>
    <row r="55" spans="1:5" x14ac:dyDescent="0.25">
      <c r="A55" s="150" t="s">
        <v>150</v>
      </c>
      <c r="B55" s="94">
        <f>$B$7</f>
        <v>27.500000000000004</v>
      </c>
      <c r="C55" s="94">
        <f>B55</f>
        <v>27.500000000000004</v>
      </c>
      <c r="D55" s="94">
        <f>C55</f>
        <v>27.500000000000004</v>
      </c>
      <c r="E55" s="143"/>
    </row>
    <row r="56" spans="1:5" x14ac:dyDescent="0.25">
      <c r="A56" s="150" t="s">
        <v>151</v>
      </c>
      <c r="B56" s="94">
        <f>'TO QUOTE EA (NAR PARTS)'!D83</f>
        <v>308</v>
      </c>
      <c r="C56" s="94">
        <f>'TO QUOTE EA (NAR PARTS)'!F83</f>
        <v>277.2</v>
      </c>
      <c r="D56" s="94">
        <f>'TO QUOTE EA (NAR PARTS)'!G83</f>
        <v>0</v>
      </c>
      <c r="E56" s="143"/>
    </row>
    <row r="57" spans="1:5" x14ac:dyDescent="0.25">
      <c r="A57" s="62" t="s">
        <v>142</v>
      </c>
      <c r="B57" s="94">
        <f>$B$9</f>
        <v>5.5</v>
      </c>
      <c r="C57" s="94">
        <f>B57</f>
        <v>5.5</v>
      </c>
      <c r="D57" s="94">
        <f>C57</f>
        <v>5.5</v>
      </c>
      <c r="E57" s="143"/>
    </row>
    <row r="58" spans="1:5" x14ac:dyDescent="0.25">
      <c r="A58" s="151" t="s">
        <v>149</v>
      </c>
      <c r="B58" s="94">
        <f>$B$10</f>
        <v>31.713333333333328</v>
      </c>
      <c r="C58" s="94">
        <f t="shared" ref="C58:D61" si="3">B58</f>
        <v>31.713333333333328</v>
      </c>
      <c r="D58" s="94">
        <f t="shared" si="3"/>
        <v>31.713333333333328</v>
      </c>
      <c r="E58" s="143"/>
    </row>
    <row r="59" spans="1:5" x14ac:dyDescent="0.25">
      <c r="A59" s="144" t="s">
        <v>143</v>
      </c>
      <c r="B59" s="94">
        <f>$B$11</f>
        <v>10.56</v>
      </c>
      <c r="C59" s="94">
        <f t="shared" si="3"/>
        <v>10.56</v>
      </c>
      <c r="D59" s="94">
        <f t="shared" si="3"/>
        <v>10.56</v>
      </c>
      <c r="E59" s="143"/>
    </row>
    <row r="60" spans="1:5" x14ac:dyDescent="0.25">
      <c r="A60" s="144" t="s">
        <v>144</v>
      </c>
      <c r="B60" s="94">
        <f>$B$12</f>
        <v>20.792000000000002</v>
      </c>
      <c r="C60" s="94">
        <f t="shared" si="3"/>
        <v>20.792000000000002</v>
      </c>
      <c r="D60" s="94">
        <f t="shared" si="3"/>
        <v>20.792000000000002</v>
      </c>
      <c r="E60" s="143"/>
    </row>
    <row r="61" spans="1:5" x14ac:dyDescent="0.25">
      <c r="A61" s="144" t="s">
        <v>114</v>
      </c>
      <c r="B61" s="94">
        <f>$B$13</f>
        <v>35</v>
      </c>
      <c r="C61" s="94">
        <f t="shared" si="3"/>
        <v>35</v>
      </c>
      <c r="D61" s="94">
        <f t="shared" si="3"/>
        <v>35</v>
      </c>
      <c r="E61" s="143"/>
    </row>
    <row r="62" spans="1:5" x14ac:dyDescent="0.25">
      <c r="A62" s="113" t="s">
        <v>145</v>
      </c>
      <c r="B62" s="138">
        <f>SUM(B54:B61)</f>
        <v>1031.2240962199312</v>
      </c>
      <c r="C62" s="138">
        <f>SUM(C54:C61)</f>
        <v>929.3650446735395</v>
      </c>
      <c r="D62" s="138">
        <f>SUM(D54:D61)</f>
        <v>131.06533333333334</v>
      </c>
      <c r="E62" s="145"/>
    </row>
    <row r="63" spans="1:5" x14ac:dyDescent="0.25">
      <c r="A63" s="113" t="s">
        <v>146</v>
      </c>
      <c r="B63" s="146">
        <f>B62/3.8</f>
        <v>271.37476216313979</v>
      </c>
      <c r="C63" s="146">
        <f>C62/3.8</f>
        <v>244.56974859829987</v>
      </c>
      <c r="D63" s="146">
        <f>D62/3.8</f>
        <v>34.49087719298246</v>
      </c>
      <c r="E63" s="145" t="s">
        <v>154</v>
      </c>
    </row>
    <row r="64" spans="1:5" x14ac:dyDescent="0.25">
      <c r="A64" s="147" t="s">
        <v>147</v>
      </c>
      <c r="B64" s="148">
        <v>272</v>
      </c>
      <c r="C64" s="148">
        <v>245</v>
      </c>
      <c r="D64" s="148">
        <v>245</v>
      </c>
      <c r="E64" s="149"/>
    </row>
    <row r="67" spans="1:5" ht="21" x14ac:dyDescent="0.35">
      <c r="A67" s="122" t="s">
        <v>158</v>
      </c>
      <c r="B67" s="123"/>
      <c r="C67" s="123"/>
      <c r="D67" s="123"/>
      <c r="E67" s="123"/>
    </row>
    <row r="68" spans="1:5" x14ac:dyDescent="0.25">
      <c r="A68" s="260" t="s">
        <v>76</v>
      </c>
      <c r="B68" s="223" t="s">
        <v>152</v>
      </c>
      <c r="C68" s="223" t="s">
        <v>153</v>
      </c>
      <c r="D68" s="223" t="s">
        <v>153</v>
      </c>
      <c r="E68" s="223" t="s">
        <v>85</v>
      </c>
    </row>
    <row r="69" spans="1:5" ht="46.5" customHeight="1" x14ac:dyDescent="0.25">
      <c r="A69" s="261"/>
      <c r="B69" s="262"/>
      <c r="C69" s="262"/>
      <c r="D69" s="262"/>
      <c r="E69" s="262"/>
    </row>
    <row r="70" spans="1:5" x14ac:dyDescent="0.25">
      <c r="A70" s="142" t="s">
        <v>141</v>
      </c>
      <c r="B70" s="94">
        <f>'TO QUOTE EA (NAR PARTS)'!D99</f>
        <v>640.95315005727366</v>
      </c>
      <c r="C70" s="94">
        <f>'TO QUOTE EA (NAR PARTS)'!F99</f>
        <v>564.03877205040089</v>
      </c>
      <c r="D70" s="94">
        <f>'TO QUOTE EA (NAR PARTS)'!G99</f>
        <v>0</v>
      </c>
      <c r="E70" s="143"/>
    </row>
    <row r="71" spans="1:5" x14ac:dyDescent="0.25">
      <c r="A71" s="150" t="s">
        <v>150</v>
      </c>
      <c r="B71" s="94">
        <f>$B$7</f>
        <v>27.500000000000004</v>
      </c>
      <c r="C71" s="94">
        <f>B71</f>
        <v>27.500000000000004</v>
      </c>
      <c r="D71" s="94">
        <f>C71</f>
        <v>27.500000000000004</v>
      </c>
      <c r="E71" s="143"/>
    </row>
    <row r="72" spans="1:5" x14ac:dyDescent="0.25">
      <c r="A72" s="150" t="s">
        <v>151</v>
      </c>
      <c r="B72" s="94">
        <f>'TO QUOTE EA (NAR PARTS)'!D106</f>
        <v>341</v>
      </c>
      <c r="C72" s="94">
        <f>'TO QUOTE EA (NAR PARTS)'!F106</f>
        <v>306.90000000000003</v>
      </c>
      <c r="D72" s="94">
        <f>'TO QUOTE EA (NAR PARTS)'!G106</f>
        <v>0</v>
      </c>
      <c r="E72" s="143"/>
    </row>
    <row r="73" spans="1:5" x14ac:dyDescent="0.25">
      <c r="A73" s="62" t="s">
        <v>142</v>
      </c>
      <c r="B73" s="94">
        <f>$B$9</f>
        <v>5.5</v>
      </c>
      <c r="C73" s="94">
        <f>B73</f>
        <v>5.5</v>
      </c>
      <c r="D73" s="94">
        <f>C73</f>
        <v>5.5</v>
      </c>
      <c r="E73" s="143"/>
    </row>
    <row r="74" spans="1:5" x14ac:dyDescent="0.25">
      <c r="A74" s="151" t="s">
        <v>149</v>
      </c>
      <c r="B74" s="94">
        <f>$B$10</f>
        <v>31.713333333333328</v>
      </c>
      <c r="C74" s="94">
        <f t="shared" ref="C74:D77" si="4">B74</f>
        <v>31.713333333333328</v>
      </c>
      <c r="D74" s="94">
        <f t="shared" si="4"/>
        <v>31.713333333333328</v>
      </c>
      <c r="E74" s="143"/>
    </row>
    <row r="75" spans="1:5" x14ac:dyDescent="0.25">
      <c r="A75" s="144" t="s">
        <v>143</v>
      </c>
      <c r="B75" s="94">
        <f>$B$11</f>
        <v>10.56</v>
      </c>
      <c r="C75" s="94">
        <f t="shared" si="4"/>
        <v>10.56</v>
      </c>
      <c r="D75" s="94">
        <f t="shared" si="4"/>
        <v>10.56</v>
      </c>
      <c r="E75" s="143"/>
    </row>
    <row r="76" spans="1:5" x14ac:dyDescent="0.25">
      <c r="A76" s="144" t="s">
        <v>144</v>
      </c>
      <c r="B76" s="94">
        <f>$B$12</f>
        <v>20.792000000000002</v>
      </c>
      <c r="C76" s="94">
        <f t="shared" si="4"/>
        <v>20.792000000000002</v>
      </c>
      <c r="D76" s="94">
        <f t="shared" si="4"/>
        <v>20.792000000000002</v>
      </c>
      <c r="E76" s="143"/>
    </row>
    <row r="77" spans="1:5" x14ac:dyDescent="0.25">
      <c r="A77" s="144" t="s">
        <v>114</v>
      </c>
      <c r="B77" s="94">
        <f>$B$13</f>
        <v>35</v>
      </c>
      <c r="C77" s="94">
        <f t="shared" si="4"/>
        <v>35</v>
      </c>
      <c r="D77" s="94">
        <f t="shared" si="4"/>
        <v>35</v>
      </c>
      <c r="E77" s="143"/>
    </row>
    <row r="78" spans="1:5" x14ac:dyDescent="0.25">
      <c r="A78" s="113" t="s">
        <v>145</v>
      </c>
      <c r="B78" s="138">
        <f>SUM(B70:B77)</f>
        <v>1113.0184833906069</v>
      </c>
      <c r="C78" s="138">
        <f>SUM(C70:C77)</f>
        <v>1002.0041053837343</v>
      </c>
      <c r="D78" s="138">
        <f>SUM(D70:D77)</f>
        <v>131.06533333333334</v>
      </c>
      <c r="E78" s="145"/>
    </row>
    <row r="79" spans="1:5" x14ac:dyDescent="0.25">
      <c r="A79" s="113" t="s">
        <v>146</v>
      </c>
      <c r="B79" s="146">
        <f>B78/3.8</f>
        <v>292.89960089226497</v>
      </c>
      <c r="C79" s="146">
        <f>C78/3.8</f>
        <v>263.68529089045643</v>
      </c>
      <c r="D79" s="146">
        <f>D78/3.8</f>
        <v>34.49087719298246</v>
      </c>
      <c r="E79" s="145" t="s">
        <v>154</v>
      </c>
    </row>
    <row r="80" spans="1:5" x14ac:dyDescent="0.25">
      <c r="A80" s="147" t="s">
        <v>147</v>
      </c>
      <c r="B80" s="148">
        <v>293</v>
      </c>
      <c r="C80" s="148">
        <v>264</v>
      </c>
      <c r="D80" s="148">
        <v>264</v>
      </c>
      <c r="E80" s="149"/>
    </row>
    <row r="83" spans="1:5" ht="21" x14ac:dyDescent="0.35">
      <c r="A83" s="122" t="s">
        <v>159</v>
      </c>
      <c r="B83" s="123"/>
      <c r="C83" s="123"/>
      <c r="D83" s="123"/>
      <c r="E83" s="123"/>
    </row>
    <row r="84" spans="1:5" x14ac:dyDescent="0.25">
      <c r="A84" s="260" t="s">
        <v>76</v>
      </c>
      <c r="B84" s="223" t="s">
        <v>152</v>
      </c>
      <c r="C84" s="223" t="s">
        <v>153</v>
      </c>
      <c r="D84" s="223" t="s">
        <v>153</v>
      </c>
      <c r="E84" s="223" t="s">
        <v>85</v>
      </c>
    </row>
    <row r="85" spans="1:5" ht="49.5" customHeight="1" x14ac:dyDescent="0.25">
      <c r="A85" s="261"/>
      <c r="B85" s="262"/>
      <c r="C85" s="262"/>
      <c r="D85" s="262"/>
      <c r="E85" s="262"/>
    </row>
    <row r="86" spans="1:5" x14ac:dyDescent="0.25">
      <c r="A86" s="142" t="s">
        <v>141</v>
      </c>
      <c r="B86" s="94">
        <f>'TO QUOTE EA (NAR PARTS)'!D122</f>
        <v>1228.0408361970219</v>
      </c>
      <c r="C86" s="94">
        <f>'TO QUOTE EA (NAR PARTS)'!F122</f>
        <v>1080.6759358533791</v>
      </c>
      <c r="D86" s="94">
        <f>'TO QUOTE EA (NAR PARTS)'!G122</f>
        <v>0</v>
      </c>
      <c r="E86" s="143"/>
    </row>
    <row r="87" spans="1:5" x14ac:dyDescent="0.25">
      <c r="A87" s="150" t="s">
        <v>150</v>
      </c>
      <c r="B87" s="94">
        <f>$B$7</f>
        <v>27.500000000000004</v>
      </c>
      <c r="C87" s="94">
        <f>B87</f>
        <v>27.500000000000004</v>
      </c>
      <c r="D87" s="94">
        <f>C87</f>
        <v>27.500000000000004</v>
      </c>
      <c r="E87" s="143"/>
    </row>
    <row r="88" spans="1:5" x14ac:dyDescent="0.25">
      <c r="A88" s="150" t="s">
        <v>151</v>
      </c>
      <c r="B88" s="94">
        <f>'TO QUOTE EA (NAR PARTS)'!D129</f>
        <v>374</v>
      </c>
      <c r="C88" s="94">
        <f>'TO QUOTE EA (NAR PARTS)'!F129</f>
        <v>336.6</v>
      </c>
      <c r="D88" s="94">
        <f>'TO QUOTE EA (NAR PARTS)'!G129</f>
        <v>0</v>
      </c>
      <c r="E88" s="143"/>
    </row>
    <row r="89" spans="1:5" x14ac:dyDescent="0.25">
      <c r="A89" s="62" t="s">
        <v>142</v>
      </c>
      <c r="B89" s="94">
        <f>$B$9</f>
        <v>5.5</v>
      </c>
      <c r="C89" s="94">
        <f>B89</f>
        <v>5.5</v>
      </c>
      <c r="D89" s="94">
        <f>C89</f>
        <v>5.5</v>
      </c>
      <c r="E89" s="143"/>
    </row>
    <row r="90" spans="1:5" x14ac:dyDescent="0.25">
      <c r="A90" s="151" t="s">
        <v>149</v>
      </c>
      <c r="B90" s="94">
        <f>'TO QUOTE EA (NAR PARTS)'!D137</f>
        <v>88.473333333333315</v>
      </c>
      <c r="C90" s="94">
        <f t="shared" ref="C90:D93" si="5">B90</f>
        <v>88.473333333333315</v>
      </c>
      <c r="D90" s="94">
        <f t="shared" si="5"/>
        <v>88.473333333333315</v>
      </c>
      <c r="E90" s="143"/>
    </row>
    <row r="91" spans="1:5" x14ac:dyDescent="0.25">
      <c r="A91" s="144" t="s">
        <v>143</v>
      </c>
      <c r="B91" s="94">
        <f>$B$11</f>
        <v>10.56</v>
      </c>
      <c r="C91" s="94">
        <f t="shared" si="5"/>
        <v>10.56</v>
      </c>
      <c r="D91" s="94">
        <f t="shared" si="5"/>
        <v>10.56</v>
      </c>
      <c r="E91" s="143"/>
    </row>
    <row r="92" spans="1:5" x14ac:dyDescent="0.25">
      <c r="A92" s="144" t="s">
        <v>144</v>
      </c>
      <c r="B92" s="94">
        <f>$B$12</f>
        <v>20.792000000000002</v>
      </c>
      <c r="C92" s="94">
        <f t="shared" si="5"/>
        <v>20.792000000000002</v>
      </c>
      <c r="D92" s="94">
        <f t="shared" si="5"/>
        <v>20.792000000000002</v>
      </c>
      <c r="E92" s="143"/>
    </row>
    <row r="93" spans="1:5" x14ac:dyDescent="0.25">
      <c r="A93" s="144" t="s">
        <v>114</v>
      </c>
      <c r="B93" s="94">
        <f>$B$13</f>
        <v>35</v>
      </c>
      <c r="C93" s="94">
        <f t="shared" si="5"/>
        <v>35</v>
      </c>
      <c r="D93" s="94">
        <f t="shared" si="5"/>
        <v>35</v>
      </c>
      <c r="E93" s="143"/>
    </row>
    <row r="94" spans="1:5" x14ac:dyDescent="0.25">
      <c r="A94" s="113" t="s">
        <v>145</v>
      </c>
      <c r="B94" s="138">
        <f>SUM(B86:B93)</f>
        <v>1789.8661695303551</v>
      </c>
      <c r="C94" s="138">
        <f>SUM(C86:C93)</f>
        <v>1605.1012691867122</v>
      </c>
      <c r="D94" s="138">
        <f>SUM(D86:D93)</f>
        <v>187.8253333333333</v>
      </c>
      <c r="E94" s="145"/>
    </row>
    <row r="95" spans="1:5" x14ac:dyDescent="0.25">
      <c r="A95" s="113" t="s">
        <v>146</v>
      </c>
      <c r="B95" s="146">
        <f>B94/3.8</f>
        <v>471.01741303430401</v>
      </c>
      <c r="C95" s="146">
        <f>C94/3.8</f>
        <v>422.39507083860849</v>
      </c>
      <c r="D95" s="146">
        <f>D94/3.8</f>
        <v>49.427719298245606</v>
      </c>
      <c r="E95" s="145" t="s">
        <v>154</v>
      </c>
    </row>
    <row r="96" spans="1:5" x14ac:dyDescent="0.25">
      <c r="A96" s="147" t="s">
        <v>147</v>
      </c>
      <c r="B96" s="148">
        <v>469</v>
      </c>
      <c r="C96" s="148">
        <v>420</v>
      </c>
      <c r="D96" s="148">
        <v>412</v>
      </c>
      <c r="E96" s="149"/>
    </row>
    <row r="99" spans="1:5" ht="21" x14ac:dyDescent="0.35">
      <c r="A99" s="122" t="s">
        <v>160</v>
      </c>
      <c r="B99" s="123"/>
      <c r="C99" s="123"/>
      <c r="D99" s="123"/>
      <c r="E99" s="123"/>
    </row>
    <row r="100" spans="1:5" x14ac:dyDescent="0.25">
      <c r="A100" s="260" t="s">
        <v>76</v>
      </c>
      <c r="B100" s="223" t="s">
        <v>152</v>
      </c>
      <c r="C100" s="223" t="s">
        <v>153</v>
      </c>
      <c r="D100" s="223" t="s">
        <v>153</v>
      </c>
      <c r="E100" s="223" t="s">
        <v>85</v>
      </c>
    </row>
    <row r="101" spans="1:5" ht="47.25" customHeight="1" x14ac:dyDescent="0.25">
      <c r="A101" s="261"/>
      <c r="B101" s="262"/>
      <c r="C101" s="262"/>
      <c r="D101" s="262"/>
      <c r="E101" s="262"/>
    </row>
    <row r="102" spans="1:5" x14ac:dyDescent="0.25">
      <c r="A102" s="142" t="s">
        <v>141</v>
      </c>
      <c r="B102" s="94">
        <f>'TO QUOTE EA (NAR PARTS)'!D145</f>
        <v>1360.8558419243989</v>
      </c>
      <c r="C102" s="94">
        <f>'TO QUOTE EA (NAR PARTS)'!F145</f>
        <v>1197.553140893471</v>
      </c>
      <c r="D102" s="94">
        <f>'TO QUOTE EA (NAR PARTS)'!G145</f>
        <v>0</v>
      </c>
      <c r="E102" s="143"/>
    </row>
    <row r="103" spans="1:5" x14ac:dyDescent="0.25">
      <c r="A103" s="150" t="s">
        <v>150</v>
      </c>
      <c r="B103" s="94">
        <f>$B$7</f>
        <v>27.500000000000004</v>
      </c>
      <c r="C103" s="94">
        <f>B103</f>
        <v>27.500000000000004</v>
      </c>
      <c r="D103" s="94">
        <f>C103</f>
        <v>27.500000000000004</v>
      </c>
      <c r="E103" s="143"/>
    </row>
    <row r="104" spans="1:5" x14ac:dyDescent="0.25">
      <c r="A104" s="150" t="s">
        <v>151</v>
      </c>
      <c r="B104" s="94">
        <f>'TO QUOTE EA (NAR PARTS)'!D152</f>
        <v>407</v>
      </c>
      <c r="C104" s="94">
        <f>'TO QUOTE EA (NAR PARTS)'!F152</f>
        <v>366.3</v>
      </c>
      <c r="D104" s="94">
        <f>'TO QUOTE EA (NAR PARTS)'!G152</f>
        <v>0</v>
      </c>
      <c r="E104" s="143"/>
    </row>
    <row r="105" spans="1:5" x14ac:dyDescent="0.25">
      <c r="A105" s="62" t="s">
        <v>142</v>
      </c>
      <c r="B105" s="94">
        <f>$B$9</f>
        <v>5.5</v>
      </c>
      <c r="C105" s="94">
        <f>B105</f>
        <v>5.5</v>
      </c>
      <c r="D105" s="94">
        <f>C105</f>
        <v>5.5</v>
      </c>
      <c r="E105" s="143"/>
    </row>
    <row r="106" spans="1:5" x14ac:dyDescent="0.25">
      <c r="A106" s="151" t="s">
        <v>149</v>
      </c>
      <c r="B106" s="94">
        <f>'TO QUOTE EA (NAR PARTS)'!D160</f>
        <v>88.473333333333315</v>
      </c>
      <c r="C106" s="94">
        <f t="shared" ref="C106:D109" si="6">B106</f>
        <v>88.473333333333315</v>
      </c>
      <c r="D106" s="94">
        <f t="shared" si="6"/>
        <v>88.473333333333315</v>
      </c>
      <c r="E106" s="143"/>
    </row>
    <row r="107" spans="1:5" x14ac:dyDescent="0.25">
      <c r="A107" s="144" t="s">
        <v>143</v>
      </c>
      <c r="B107" s="94">
        <f>$B$11</f>
        <v>10.56</v>
      </c>
      <c r="C107" s="94">
        <f t="shared" si="6"/>
        <v>10.56</v>
      </c>
      <c r="D107" s="94">
        <f t="shared" si="6"/>
        <v>10.56</v>
      </c>
      <c r="E107" s="143"/>
    </row>
    <row r="108" spans="1:5" x14ac:dyDescent="0.25">
      <c r="A108" s="144" t="s">
        <v>144</v>
      </c>
      <c r="B108" s="94">
        <f>$B$12</f>
        <v>20.792000000000002</v>
      </c>
      <c r="C108" s="94">
        <f t="shared" si="6"/>
        <v>20.792000000000002</v>
      </c>
      <c r="D108" s="94">
        <f t="shared" si="6"/>
        <v>20.792000000000002</v>
      </c>
      <c r="E108" s="143"/>
    </row>
    <row r="109" spans="1:5" x14ac:dyDescent="0.25">
      <c r="A109" s="144" t="s">
        <v>114</v>
      </c>
      <c r="B109" s="94">
        <f>$B$13</f>
        <v>35</v>
      </c>
      <c r="C109" s="94">
        <f t="shared" si="6"/>
        <v>35</v>
      </c>
      <c r="D109" s="94">
        <f t="shared" si="6"/>
        <v>35</v>
      </c>
      <c r="E109" s="143"/>
    </row>
    <row r="110" spans="1:5" x14ac:dyDescent="0.25">
      <c r="A110" s="113" t="s">
        <v>145</v>
      </c>
      <c r="B110" s="138">
        <f>SUM(B102:B109)</f>
        <v>1955.6811752577321</v>
      </c>
      <c r="C110" s="138">
        <f>SUM(C102:C109)</f>
        <v>1751.6784742268042</v>
      </c>
      <c r="D110" s="138">
        <f>SUM(D102:D109)</f>
        <v>187.8253333333333</v>
      </c>
      <c r="E110" s="145"/>
    </row>
    <row r="111" spans="1:5" x14ac:dyDescent="0.25">
      <c r="A111" s="113" t="s">
        <v>146</v>
      </c>
      <c r="B111" s="146">
        <f>B110/3.8</f>
        <v>514.65294085729795</v>
      </c>
      <c r="C111" s="146">
        <f>C110/3.8</f>
        <v>460.96801953336956</v>
      </c>
      <c r="D111" s="146">
        <f>D110/3.8</f>
        <v>49.427719298245606</v>
      </c>
      <c r="E111" s="145" t="s">
        <v>154</v>
      </c>
    </row>
    <row r="112" spans="1:5" x14ac:dyDescent="0.25">
      <c r="A112" s="147" t="s">
        <v>147</v>
      </c>
      <c r="B112" s="148">
        <v>515</v>
      </c>
      <c r="C112" s="148">
        <v>461</v>
      </c>
      <c r="D112" s="148">
        <v>461</v>
      </c>
      <c r="E112" s="149"/>
    </row>
    <row r="115" spans="1:5" ht="21" x14ac:dyDescent="0.35">
      <c r="A115" s="122" t="s">
        <v>161</v>
      </c>
      <c r="B115" s="123"/>
      <c r="C115" s="123"/>
      <c r="D115" s="123"/>
      <c r="E115" s="123"/>
    </row>
    <row r="116" spans="1:5" x14ac:dyDescent="0.25">
      <c r="A116" s="260" t="s">
        <v>76</v>
      </c>
      <c r="B116" s="223" t="s">
        <v>152</v>
      </c>
      <c r="C116" s="223" t="s">
        <v>153</v>
      </c>
      <c r="D116" s="223" t="s">
        <v>153</v>
      </c>
      <c r="E116" s="223" t="s">
        <v>85</v>
      </c>
    </row>
    <row r="117" spans="1:5" ht="45.75" customHeight="1" x14ac:dyDescent="0.25">
      <c r="A117" s="261"/>
      <c r="B117" s="262"/>
      <c r="C117" s="262"/>
      <c r="D117" s="262"/>
      <c r="E117" s="262"/>
    </row>
    <row r="118" spans="1:5" x14ac:dyDescent="0.25">
      <c r="A118" s="142" t="s">
        <v>141</v>
      </c>
      <c r="B118" s="94">
        <f>'TO QUOTE EA (NAR PARTS)'!D168</f>
        <v>1543.6637170675835</v>
      </c>
      <c r="C118" s="94">
        <f>'TO QUOTE EA (NAR PARTS)'!F168</f>
        <v>1358.4240710194733</v>
      </c>
      <c r="D118" s="94">
        <f>'TO QUOTE EA (NAR PARTS)'!G168</f>
        <v>0</v>
      </c>
      <c r="E118" s="143"/>
    </row>
    <row r="119" spans="1:5" x14ac:dyDescent="0.25">
      <c r="A119" s="150" t="s">
        <v>150</v>
      </c>
      <c r="B119" s="94">
        <f>$B$7</f>
        <v>27.500000000000004</v>
      </c>
      <c r="C119" s="94">
        <f>B119</f>
        <v>27.500000000000004</v>
      </c>
      <c r="D119" s="94">
        <f>C119</f>
        <v>27.500000000000004</v>
      </c>
      <c r="E119" s="143"/>
    </row>
    <row r="120" spans="1:5" x14ac:dyDescent="0.25">
      <c r="A120" s="150" t="s">
        <v>151</v>
      </c>
      <c r="B120" s="94">
        <f>'TO QUOTE EA (NAR PARTS)'!D175</f>
        <v>440</v>
      </c>
      <c r="C120" s="94">
        <f>'TO QUOTE EA (NAR PARTS)'!F175</f>
        <v>396</v>
      </c>
      <c r="D120" s="94">
        <f>'TO QUOTE EA (NAR PARTS)'!G175</f>
        <v>0</v>
      </c>
      <c r="E120" s="143"/>
    </row>
    <row r="121" spans="1:5" x14ac:dyDescent="0.25">
      <c r="A121" s="62" t="s">
        <v>142</v>
      </c>
      <c r="B121" s="94">
        <f>$B$9</f>
        <v>5.5</v>
      </c>
      <c r="C121" s="94">
        <f>B121</f>
        <v>5.5</v>
      </c>
      <c r="D121" s="94">
        <f>C121</f>
        <v>5.5</v>
      </c>
      <c r="E121" s="143"/>
    </row>
    <row r="122" spans="1:5" x14ac:dyDescent="0.25">
      <c r="A122" s="151" t="s">
        <v>149</v>
      </c>
      <c r="B122" s="94">
        <f>'TO QUOTE EA (NAR PARTS)'!D183</f>
        <v>116.85333333333331</v>
      </c>
      <c r="C122" s="94">
        <f t="shared" ref="C122:D125" si="7">B122</f>
        <v>116.85333333333331</v>
      </c>
      <c r="D122" s="94">
        <f t="shared" si="7"/>
        <v>116.85333333333331</v>
      </c>
      <c r="E122" s="143"/>
    </row>
    <row r="123" spans="1:5" x14ac:dyDescent="0.25">
      <c r="A123" s="144" t="s">
        <v>143</v>
      </c>
      <c r="B123" s="94">
        <f>$B$11</f>
        <v>10.56</v>
      </c>
      <c r="C123" s="94">
        <f t="shared" si="7"/>
        <v>10.56</v>
      </c>
      <c r="D123" s="94">
        <f t="shared" si="7"/>
        <v>10.56</v>
      </c>
      <c r="E123" s="143"/>
    </row>
    <row r="124" spans="1:5" x14ac:dyDescent="0.25">
      <c r="A124" s="144" t="s">
        <v>144</v>
      </c>
      <c r="B124" s="94">
        <f>$B$12</f>
        <v>20.792000000000002</v>
      </c>
      <c r="C124" s="94">
        <f t="shared" si="7"/>
        <v>20.792000000000002</v>
      </c>
      <c r="D124" s="94">
        <f t="shared" si="7"/>
        <v>20.792000000000002</v>
      </c>
      <c r="E124" s="143"/>
    </row>
    <row r="125" spans="1:5" x14ac:dyDescent="0.25">
      <c r="A125" s="144" t="s">
        <v>114</v>
      </c>
      <c r="B125" s="94">
        <f>$B$13</f>
        <v>35</v>
      </c>
      <c r="C125" s="94">
        <f t="shared" si="7"/>
        <v>35</v>
      </c>
      <c r="D125" s="94">
        <f t="shared" si="7"/>
        <v>35</v>
      </c>
      <c r="E125" s="143"/>
    </row>
    <row r="126" spans="1:5" x14ac:dyDescent="0.25">
      <c r="A126" s="113" t="s">
        <v>145</v>
      </c>
      <c r="B126" s="138">
        <f>SUM(B118:B125)</f>
        <v>2199.8690504009169</v>
      </c>
      <c r="C126" s="138">
        <f>SUM(C118:C125)</f>
        <v>1970.6294043528064</v>
      </c>
      <c r="D126" s="138">
        <f>SUM(D118:D125)</f>
        <v>216.2053333333333</v>
      </c>
      <c r="E126" s="145"/>
    </row>
    <row r="127" spans="1:5" x14ac:dyDescent="0.25">
      <c r="A127" s="113" t="s">
        <v>146</v>
      </c>
      <c r="B127" s="146">
        <f>B126/3.8</f>
        <v>578.91290800024126</v>
      </c>
      <c r="C127" s="146">
        <f>C126/3.8</f>
        <v>518.58668535600168</v>
      </c>
      <c r="D127" s="146">
        <f>D126/3.8</f>
        <v>56.896140350877189</v>
      </c>
      <c r="E127" s="145" t="s">
        <v>154</v>
      </c>
    </row>
    <row r="128" spans="1:5" x14ac:dyDescent="0.25">
      <c r="A128" s="147" t="s">
        <v>147</v>
      </c>
      <c r="B128" s="148">
        <v>579</v>
      </c>
      <c r="C128" s="148">
        <v>519</v>
      </c>
      <c r="D128" s="148">
        <v>519</v>
      </c>
      <c r="E128" s="149"/>
    </row>
  </sheetData>
  <mergeCells count="40">
    <mergeCell ref="A100:A101"/>
    <mergeCell ref="B100:B101"/>
    <mergeCell ref="C100:C101"/>
    <mergeCell ref="E100:E101"/>
    <mergeCell ref="A116:A117"/>
    <mergeCell ref="B116:B117"/>
    <mergeCell ref="C116:C117"/>
    <mergeCell ref="E116:E117"/>
    <mergeCell ref="D100:D101"/>
    <mergeCell ref="D116:D117"/>
    <mergeCell ref="A68:A69"/>
    <mergeCell ref="B68:B69"/>
    <mergeCell ref="C68:C69"/>
    <mergeCell ref="E68:E69"/>
    <mergeCell ref="A84:A85"/>
    <mergeCell ref="B84:B85"/>
    <mergeCell ref="C84:C85"/>
    <mergeCell ref="E84:E85"/>
    <mergeCell ref="D68:D69"/>
    <mergeCell ref="D84:D85"/>
    <mergeCell ref="A36:A37"/>
    <mergeCell ref="B36:B37"/>
    <mergeCell ref="C36:C37"/>
    <mergeCell ref="E36:E37"/>
    <mergeCell ref="A52:A53"/>
    <mergeCell ref="B52:B53"/>
    <mergeCell ref="C52:C53"/>
    <mergeCell ref="E52:E53"/>
    <mergeCell ref="D36:D37"/>
    <mergeCell ref="D52:D53"/>
    <mergeCell ref="A4:A5"/>
    <mergeCell ref="B4:B5"/>
    <mergeCell ref="E4:E5"/>
    <mergeCell ref="C4:C5"/>
    <mergeCell ref="A20:A21"/>
    <mergeCell ref="B20:B21"/>
    <mergeCell ref="C20:C21"/>
    <mergeCell ref="E20:E21"/>
    <mergeCell ref="D4:D5"/>
    <mergeCell ref="D20:D21"/>
  </mergeCells>
  <phoneticPr fontId="3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81FC-CAE5-4FE9-89A6-658E3E390038}">
  <sheetPr>
    <pageSetUpPr fitToPage="1"/>
  </sheetPr>
  <dimension ref="A2:Y59"/>
  <sheetViews>
    <sheetView topLeftCell="M30" workbookViewId="0">
      <selection activeCell="T50" sqref="T50"/>
    </sheetView>
  </sheetViews>
  <sheetFormatPr defaultRowHeight="15" x14ac:dyDescent="0.25"/>
  <cols>
    <col min="2" max="2" width="15.28515625" customWidth="1"/>
    <col min="3" max="3" width="13.140625" customWidth="1"/>
    <col min="4" max="5" width="17" customWidth="1"/>
    <col min="6" max="6" width="10.5703125" customWidth="1"/>
    <col min="7" max="7" width="17.85546875" customWidth="1"/>
    <col min="8" max="8" width="10.5703125" customWidth="1"/>
    <col min="9" max="9" width="22" customWidth="1"/>
    <col min="10" max="10" width="10.5703125" customWidth="1"/>
    <col min="11" max="11" width="25.5703125" customWidth="1"/>
    <col min="12" max="12" width="10.5703125" customWidth="1"/>
    <col min="13" max="13" width="21" customWidth="1"/>
    <col min="14" max="14" width="14.7109375" customWidth="1"/>
    <col min="15" max="15" width="12.140625" customWidth="1"/>
    <col min="16" max="16" width="10.5703125" customWidth="1"/>
    <col min="17" max="17" width="9.140625" customWidth="1"/>
    <col min="18" max="18" width="16.28515625" customWidth="1"/>
    <col min="19" max="20" width="23.28515625" customWidth="1"/>
    <col min="21" max="21" width="16.42578125" customWidth="1"/>
    <col min="22" max="22" width="20.7109375" customWidth="1"/>
    <col min="23" max="23" width="23.28515625" customWidth="1"/>
    <col min="24" max="24" width="20.5703125" customWidth="1"/>
  </cols>
  <sheetData>
    <row r="2" spans="2:24" ht="21" x14ac:dyDescent="0.35">
      <c r="B2" s="61" t="s">
        <v>162</v>
      </c>
    </row>
    <row r="3" spans="2:24" ht="21" x14ac:dyDescent="0.35">
      <c r="B3" s="154" t="s">
        <v>165</v>
      </c>
    </row>
    <row r="4" spans="2:24" ht="21" customHeight="1" x14ac:dyDescent="0.25">
      <c r="B4" s="223" t="s">
        <v>51</v>
      </c>
      <c r="C4" s="273" t="s">
        <v>60</v>
      </c>
      <c r="D4" s="247" t="s">
        <v>164</v>
      </c>
      <c r="E4" s="276" t="s">
        <v>167</v>
      </c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8"/>
    </row>
    <row r="5" spans="2:24" ht="45" customHeight="1" x14ac:dyDescent="0.25">
      <c r="B5" s="224"/>
      <c r="C5" s="274"/>
      <c r="D5" s="268"/>
      <c r="E5" s="249" t="s">
        <v>169</v>
      </c>
      <c r="F5" s="270"/>
      <c r="G5" s="270"/>
      <c r="H5" s="250"/>
      <c r="I5" s="223" t="s">
        <v>163</v>
      </c>
      <c r="J5" s="223" t="s">
        <v>168</v>
      </c>
      <c r="K5" s="223" t="s">
        <v>166</v>
      </c>
      <c r="L5" s="223" t="s">
        <v>168</v>
      </c>
      <c r="M5" s="223" t="s">
        <v>170</v>
      </c>
      <c r="N5" s="223" t="s">
        <v>168</v>
      </c>
      <c r="O5" s="223" t="s">
        <v>114</v>
      </c>
      <c r="P5" s="223" t="s">
        <v>168</v>
      </c>
      <c r="X5" s="57" t="s">
        <v>180</v>
      </c>
    </row>
    <row r="6" spans="2:24" x14ac:dyDescent="0.25">
      <c r="B6" s="262"/>
      <c r="C6" s="275"/>
      <c r="D6" s="269"/>
      <c r="E6" s="163" t="s">
        <v>177</v>
      </c>
      <c r="F6" s="163" t="s">
        <v>168</v>
      </c>
      <c r="G6" s="163" t="s">
        <v>178</v>
      </c>
      <c r="H6" s="163" t="s">
        <v>168</v>
      </c>
      <c r="I6" s="262"/>
      <c r="J6" s="262"/>
      <c r="K6" s="262"/>
      <c r="L6" s="262"/>
      <c r="M6" s="262"/>
      <c r="N6" s="262"/>
      <c r="O6" s="262"/>
      <c r="P6" s="262"/>
      <c r="X6" s="285" t="s">
        <v>181</v>
      </c>
    </row>
    <row r="7" spans="2:24" x14ac:dyDescent="0.25">
      <c r="B7" s="62" t="s">
        <v>52</v>
      </c>
      <c r="C7" s="152">
        <v>180</v>
      </c>
      <c r="D7" s="153">
        <f>'TO QUOTE EA'!B16</f>
        <v>207</v>
      </c>
      <c r="E7" s="59">
        <f>EXTRUSION!M17</f>
        <v>117.3093687827817</v>
      </c>
      <c r="F7" s="60">
        <f>E7/D7</f>
        <v>0.56671192648686808</v>
      </c>
      <c r="G7" s="59">
        <v>0</v>
      </c>
      <c r="H7" s="60">
        <f>G7/D7</f>
        <v>0</v>
      </c>
      <c r="I7" s="59">
        <f>('TO QUOTE EA'!B7+'TO QUOTE EA'!B10)/3.8</f>
        <v>15.582456140350878</v>
      </c>
      <c r="J7" s="60">
        <f>I7/D7</f>
        <v>7.5277565895414872E-2</v>
      </c>
      <c r="K7" s="59">
        <f>'TO QUOTE EA'!B8/3.8</f>
        <v>55</v>
      </c>
      <c r="L7" s="60">
        <f>K7/D7</f>
        <v>0.26570048309178745</v>
      </c>
      <c r="M7" s="59">
        <f>('TO QUOTE EA'!B105+'TO QUOTE EA'!B107+'TO QUOTE EA'!B108)/3.8</f>
        <v>9.6978947368421071</v>
      </c>
      <c r="N7" s="60">
        <f>M7/D7</f>
        <v>4.6849733028222741E-2</v>
      </c>
      <c r="O7" s="59">
        <f>'TO QUOTE EA'!B109/3.8</f>
        <v>9.2105263157894743</v>
      </c>
      <c r="P7" s="60">
        <f>O7/D7</f>
        <v>4.4495296211543356E-2</v>
      </c>
      <c r="Q7" s="155">
        <f>F7+H7+J7+L7+N7+P7</f>
        <v>0.99903500471383644</v>
      </c>
      <c r="X7" s="286"/>
    </row>
    <row r="8" spans="2:24" x14ac:dyDescent="0.25">
      <c r="B8" s="62" t="s">
        <v>53</v>
      </c>
      <c r="C8" s="152">
        <v>190</v>
      </c>
      <c r="D8" s="153">
        <f>'TO QUOTE EA'!B32</f>
        <v>229</v>
      </c>
      <c r="E8" s="59">
        <f>EXTRUSION!M35</f>
        <v>130.14999698559114</v>
      </c>
      <c r="F8" s="60">
        <f t="shared" ref="F8:F14" si="0">E8/D8</f>
        <v>0.56834059819035432</v>
      </c>
      <c r="G8" s="59">
        <v>0</v>
      </c>
      <c r="H8" s="60">
        <f t="shared" ref="H8:H14" si="1">G8/D8</f>
        <v>0</v>
      </c>
      <c r="I8" s="59">
        <f>$I$7</f>
        <v>15.582456140350878</v>
      </c>
      <c r="J8" s="60">
        <f t="shared" ref="J8:J14" si="2">I8/D8</f>
        <v>6.8045660001532213E-2</v>
      </c>
      <c r="K8" s="59">
        <f>'TO QUOTE EA'!B24/3.8</f>
        <v>63.684210526315795</v>
      </c>
      <c r="L8" s="60">
        <f t="shared" ref="L8:L14" si="3">K8/D8</f>
        <v>0.27809698919788556</v>
      </c>
      <c r="M8" s="59">
        <f>$M$7</f>
        <v>9.6978947368421071</v>
      </c>
      <c r="N8" s="60">
        <f t="shared" ref="N8:N14" si="4">M8/D8</f>
        <v>4.2348885313720989E-2</v>
      </c>
      <c r="O8" s="59">
        <f>$O$7</f>
        <v>9.2105263157894743</v>
      </c>
      <c r="P8" s="60">
        <f t="shared" ref="P8:P14" si="5">O8/D8</f>
        <v>4.0220638933578488E-2</v>
      </c>
      <c r="Q8" s="155">
        <f t="shared" ref="Q8:Q14" si="6">F8+H8+J8+L8+N8+P8</f>
        <v>0.99705277163707162</v>
      </c>
      <c r="X8" s="286"/>
    </row>
    <row r="9" spans="2:24" x14ac:dyDescent="0.25">
      <c r="B9" s="62" t="s">
        <v>54</v>
      </c>
      <c r="C9" s="152">
        <v>200</v>
      </c>
      <c r="D9" s="153">
        <f>'TO QUOTE EA'!B48</f>
        <v>250</v>
      </c>
      <c r="E9" s="59">
        <f>EXTRUSION!M52</f>
        <v>142.99062518840057</v>
      </c>
      <c r="F9" s="60">
        <f t="shared" si="0"/>
        <v>0.57196250075360233</v>
      </c>
      <c r="G9" s="59">
        <v>0</v>
      </c>
      <c r="H9" s="60">
        <f t="shared" si="1"/>
        <v>0</v>
      </c>
      <c r="I9" s="59">
        <f>$I$7</f>
        <v>15.582456140350878</v>
      </c>
      <c r="J9" s="60">
        <f t="shared" si="2"/>
        <v>6.2329824561403513E-2</v>
      </c>
      <c r="K9" s="59">
        <f>'TO QUOTE EA'!B40/3.8</f>
        <v>72.368421052631589</v>
      </c>
      <c r="L9" s="60">
        <f t="shared" si="3"/>
        <v>0.28947368421052638</v>
      </c>
      <c r="M9" s="59">
        <f t="shared" ref="M9:M14" si="7">$M$7</f>
        <v>9.6978947368421071</v>
      </c>
      <c r="N9" s="60">
        <f t="shared" si="4"/>
        <v>3.8791578947368427E-2</v>
      </c>
      <c r="O9" s="59">
        <f t="shared" ref="O9:O14" si="8">$O$7</f>
        <v>9.2105263157894743</v>
      </c>
      <c r="P9" s="60">
        <f t="shared" si="5"/>
        <v>3.6842105263157898E-2</v>
      </c>
      <c r="Q9" s="155">
        <f t="shared" si="6"/>
        <v>0.99939969373605853</v>
      </c>
      <c r="X9" s="286"/>
    </row>
    <row r="10" spans="2:24" x14ac:dyDescent="0.25">
      <c r="B10" s="62" t="s">
        <v>55</v>
      </c>
      <c r="C10" s="152">
        <v>220</v>
      </c>
      <c r="D10" s="153">
        <f>'TO QUOTE EA'!B64</f>
        <v>272</v>
      </c>
      <c r="E10" s="59">
        <f>EXTRUSION!M69</f>
        <v>155.83125339120997</v>
      </c>
      <c r="F10" s="60">
        <f t="shared" si="0"/>
        <v>0.57290901982062492</v>
      </c>
      <c r="G10" s="59">
        <v>0</v>
      </c>
      <c r="H10" s="60">
        <f t="shared" si="1"/>
        <v>0</v>
      </c>
      <c r="I10" s="59">
        <f>$I$7</f>
        <v>15.582456140350878</v>
      </c>
      <c r="J10" s="60">
        <f t="shared" si="2"/>
        <v>5.7288441692466462E-2</v>
      </c>
      <c r="K10" s="59">
        <f>'TO QUOTE EA'!B56/3.8</f>
        <v>81.05263157894737</v>
      </c>
      <c r="L10" s="60">
        <f t="shared" si="3"/>
        <v>0.29798761609907121</v>
      </c>
      <c r="M10" s="59">
        <f t="shared" si="7"/>
        <v>9.6978947368421071</v>
      </c>
      <c r="N10" s="60">
        <f t="shared" si="4"/>
        <v>3.5654024767801863E-2</v>
      </c>
      <c r="O10" s="59">
        <f t="shared" si="8"/>
        <v>9.2105263157894743</v>
      </c>
      <c r="P10" s="60">
        <f t="shared" si="5"/>
        <v>3.3862229102167185E-2</v>
      </c>
      <c r="Q10" s="155">
        <f t="shared" si="6"/>
        <v>0.99770133148213169</v>
      </c>
      <c r="X10" s="286"/>
    </row>
    <row r="11" spans="2:24" x14ac:dyDescent="0.25">
      <c r="B11" s="62" t="s">
        <v>56</v>
      </c>
      <c r="C11" s="152">
        <v>300</v>
      </c>
      <c r="D11" s="153">
        <f>'TO QUOTE EA'!B80</f>
        <v>293</v>
      </c>
      <c r="E11" s="59">
        <f>EXTRUSION!M86</f>
        <v>168.6718815940194</v>
      </c>
      <c r="F11" s="60">
        <f t="shared" si="0"/>
        <v>0.57567195083283074</v>
      </c>
      <c r="G11" s="59">
        <v>0</v>
      </c>
      <c r="H11" s="60">
        <f t="shared" si="1"/>
        <v>0</v>
      </c>
      <c r="I11" s="59">
        <f>$I$7</f>
        <v>15.582456140350878</v>
      </c>
      <c r="J11" s="60">
        <f t="shared" si="2"/>
        <v>5.3182444165020062E-2</v>
      </c>
      <c r="K11" s="59">
        <f>'TO QUOTE EA'!B72/3.8</f>
        <v>89.736842105263165</v>
      </c>
      <c r="L11" s="60">
        <f t="shared" si="3"/>
        <v>0.30626908568349204</v>
      </c>
      <c r="M11" s="59">
        <f t="shared" si="7"/>
        <v>9.6978947368421071</v>
      </c>
      <c r="N11" s="60">
        <f t="shared" si="4"/>
        <v>3.3098616849290469E-2</v>
      </c>
      <c r="O11" s="59">
        <f t="shared" si="8"/>
        <v>9.2105263157894743</v>
      </c>
      <c r="P11" s="60">
        <f t="shared" si="5"/>
        <v>3.1435243398598892E-2</v>
      </c>
      <c r="Q11" s="155">
        <f t="shared" si="6"/>
        <v>0.99965734092923231</v>
      </c>
      <c r="X11" s="286"/>
    </row>
    <row r="12" spans="2:24" x14ac:dyDescent="0.25">
      <c r="B12" s="62" t="s">
        <v>57</v>
      </c>
      <c r="C12" s="152">
        <v>350</v>
      </c>
      <c r="D12" s="153">
        <f>'TO QUOTE EA'!B96</f>
        <v>469</v>
      </c>
      <c r="E12" s="59">
        <f>((EXTRUSION!Q93*25)/0.9)/3.8</f>
        <v>181.51250979682885</v>
      </c>
      <c r="F12" s="60">
        <f t="shared" si="0"/>
        <v>0.38702027675230033</v>
      </c>
      <c r="G12" s="59">
        <f>((EXTRUSION!Q94*25)/0.9)/3.8</f>
        <v>141.65613130765055</v>
      </c>
      <c r="H12" s="60">
        <f t="shared" si="1"/>
        <v>0.30203865950458542</v>
      </c>
      <c r="I12" s="59">
        <f>('TO QUOTE EA'!B87+'TO QUOTE EA'!B90)/3.8</f>
        <v>30.519298245614031</v>
      </c>
      <c r="J12" s="60">
        <f t="shared" si="2"/>
        <v>6.5073130587663175E-2</v>
      </c>
      <c r="K12" s="59">
        <f>'TO QUOTE EA'!B88/3.8</f>
        <v>98.421052631578945</v>
      </c>
      <c r="L12" s="60">
        <f t="shared" si="3"/>
        <v>0.2098529906856694</v>
      </c>
      <c r="M12" s="59">
        <f t="shared" si="7"/>
        <v>9.6978947368421071</v>
      </c>
      <c r="N12" s="60">
        <f t="shared" si="4"/>
        <v>2.0677813937829654E-2</v>
      </c>
      <c r="O12" s="59">
        <f t="shared" si="8"/>
        <v>9.2105263157894743</v>
      </c>
      <c r="P12" s="60">
        <f t="shared" si="5"/>
        <v>1.9638648860958369E-2</v>
      </c>
      <c r="Q12" s="155">
        <f t="shared" si="6"/>
        <v>1.0043015203290064</v>
      </c>
      <c r="X12" s="286"/>
    </row>
    <row r="13" spans="2:24" x14ac:dyDescent="0.25">
      <c r="B13" s="62" t="s">
        <v>58</v>
      </c>
      <c r="C13" s="152">
        <v>400</v>
      </c>
      <c r="D13" s="153">
        <f>'TO QUOTE EA'!B112</f>
        <v>515</v>
      </c>
      <c r="E13" s="59">
        <f>((EXTRUSION!Q112*25)/0.9)/3.8</f>
        <v>194.35313799963831</v>
      </c>
      <c r="F13" s="60">
        <f t="shared" si="0"/>
        <v>0.3773847339798802</v>
      </c>
      <c r="G13" s="59">
        <f>((EXTRUSION!Q113*25)/0.9)/3.8</f>
        <v>163.76682040151928</v>
      </c>
      <c r="H13" s="60">
        <f t="shared" si="1"/>
        <v>0.31799382602236753</v>
      </c>
      <c r="I13" s="59">
        <f>$I$12</f>
        <v>30.519298245614031</v>
      </c>
      <c r="J13" s="60">
        <f t="shared" si="2"/>
        <v>5.9260773292454431E-2</v>
      </c>
      <c r="K13" s="59">
        <f>'TO QUOTE EA'!B104/3.8</f>
        <v>107.10526315789474</v>
      </c>
      <c r="L13" s="60">
        <f t="shared" si="3"/>
        <v>0.20797138477261115</v>
      </c>
      <c r="M13" s="59">
        <f t="shared" si="7"/>
        <v>9.6978947368421071</v>
      </c>
      <c r="N13" s="60">
        <f t="shared" si="4"/>
        <v>1.8830863566683703E-2</v>
      </c>
      <c r="O13" s="59">
        <f t="shared" si="8"/>
        <v>9.2105263157894743</v>
      </c>
      <c r="P13" s="60">
        <f t="shared" si="5"/>
        <v>1.7884517118037815E-2</v>
      </c>
      <c r="Q13" s="155">
        <f t="shared" si="6"/>
        <v>0.99932609875203482</v>
      </c>
      <c r="X13" s="286"/>
    </row>
    <row r="14" spans="2:24" x14ac:dyDescent="0.25">
      <c r="B14" s="62" t="s">
        <v>59</v>
      </c>
      <c r="C14" s="152">
        <v>450</v>
      </c>
      <c r="D14" s="153">
        <f>'TO QUOTE EA'!B128</f>
        <v>579</v>
      </c>
      <c r="E14" s="59">
        <f>((EXTRUSION!Q131*25)/0.9)/3.8</f>
        <v>207.19376620244773</v>
      </c>
      <c r="F14" s="60">
        <f t="shared" si="0"/>
        <v>0.35784761002149867</v>
      </c>
      <c r="G14" s="59">
        <f>((EXTRUSION!Q132*25)/0.9)/3.8</f>
        <v>199.03352776270577</v>
      </c>
      <c r="H14" s="60">
        <f t="shared" si="1"/>
        <v>0.34375393395976817</v>
      </c>
      <c r="I14" s="59">
        <f>('TO QUOTE EA'!B119+'TO QUOTE EA'!B122)/3.8</f>
        <v>37.987719298245615</v>
      </c>
      <c r="J14" s="60">
        <f t="shared" si="2"/>
        <v>6.5609187043602094E-2</v>
      </c>
      <c r="K14" s="59">
        <f>'TO QUOTE EA'!B120/3.8</f>
        <v>115.78947368421053</v>
      </c>
      <c r="L14" s="60">
        <f t="shared" si="3"/>
        <v>0.19998181983456051</v>
      </c>
      <c r="M14" s="59">
        <f t="shared" si="7"/>
        <v>9.6978947368421071</v>
      </c>
      <c r="N14" s="60">
        <f t="shared" si="4"/>
        <v>1.674938641941642E-2</v>
      </c>
      <c r="O14" s="59">
        <f t="shared" si="8"/>
        <v>9.2105263157894743</v>
      </c>
      <c r="P14" s="60">
        <f t="shared" si="5"/>
        <v>1.5907644759567314E-2</v>
      </c>
      <c r="Q14" s="155">
        <f t="shared" si="6"/>
        <v>0.99984958203841312</v>
      </c>
      <c r="X14" s="286"/>
    </row>
    <row r="15" spans="2:24" x14ac:dyDescent="0.25">
      <c r="X15" s="286"/>
    </row>
    <row r="16" spans="2:24" x14ac:dyDescent="0.25">
      <c r="X16" s="286"/>
    </row>
    <row r="17" spans="2:24" ht="21" x14ac:dyDescent="0.35">
      <c r="B17" s="61" t="s">
        <v>162</v>
      </c>
      <c r="X17" s="286"/>
    </row>
    <row r="18" spans="2:24" ht="21" x14ac:dyDescent="0.35">
      <c r="B18" s="154" t="s">
        <v>171</v>
      </c>
      <c r="X18" s="286"/>
    </row>
    <row r="19" spans="2:24" ht="15" customHeight="1" x14ac:dyDescent="0.25">
      <c r="B19" s="223" t="s">
        <v>51</v>
      </c>
      <c r="C19" s="273" t="s">
        <v>60</v>
      </c>
      <c r="D19" s="291" t="s">
        <v>164</v>
      </c>
      <c r="E19" s="282" t="s">
        <v>167</v>
      </c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4"/>
      <c r="X19" s="286"/>
    </row>
    <row r="20" spans="2:24" ht="45" customHeight="1" x14ac:dyDescent="0.25">
      <c r="B20" s="224"/>
      <c r="C20" s="274"/>
      <c r="D20" s="292"/>
      <c r="E20" s="249" t="s">
        <v>169</v>
      </c>
      <c r="F20" s="270"/>
      <c r="G20" s="270"/>
      <c r="H20" s="250"/>
      <c r="I20" s="223" t="s">
        <v>163</v>
      </c>
      <c r="J20" s="223" t="s">
        <v>168</v>
      </c>
      <c r="K20" s="223" t="s">
        <v>174</v>
      </c>
      <c r="L20" s="223" t="s">
        <v>168</v>
      </c>
      <c r="M20" s="223" t="s">
        <v>170</v>
      </c>
      <c r="N20" s="223" t="s">
        <v>168</v>
      </c>
      <c r="O20" s="223" t="s">
        <v>114</v>
      </c>
      <c r="P20" s="223" t="s">
        <v>168</v>
      </c>
      <c r="X20" s="285" t="s">
        <v>182</v>
      </c>
    </row>
    <row r="21" spans="2:24" x14ac:dyDescent="0.25">
      <c r="B21" s="262"/>
      <c r="C21" s="275"/>
      <c r="D21" s="293"/>
      <c r="E21" s="163" t="s">
        <v>177</v>
      </c>
      <c r="F21" s="163" t="s">
        <v>168</v>
      </c>
      <c r="G21" s="163" t="s">
        <v>178</v>
      </c>
      <c r="H21" s="163" t="s">
        <v>168</v>
      </c>
      <c r="I21" s="262"/>
      <c r="J21" s="262"/>
      <c r="K21" s="262"/>
      <c r="L21" s="262"/>
      <c r="M21" s="262"/>
      <c r="N21" s="262"/>
      <c r="O21" s="262"/>
      <c r="P21" s="262"/>
      <c r="X21" s="286"/>
    </row>
    <row r="22" spans="2:24" x14ac:dyDescent="0.25">
      <c r="B22" s="62" t="s">
        <v>52</v>
      </c>
      <c r="C22" s="152">
        <v>180</v>
      </c>
      <c r="D22" s="156">
        <f>'TO QUOTE EA'!C16</f>
        <v>188</v>
      </c>
      <c r="E22" s="59">
        <f>EXTRUSION!N17</f>
        <v>103.2322445288479</v>
      </c>
      <c r="F22" s="60">
        <f>E22/D22</f>
        <v>0.54910768366408458</v>
      </c>
      <c r="G22" s="59">
        <v>0</v>
      </c>
      <c r="H22" s="60">
        <f>G22/D22</f>
        <v>0</v>
      </c>
      <c r="I22" s="59">
        <f t="shared" ref="I22:I29" si="9">$I7</f>
        <v>15.582456140350878</v>
      </c>
      <c r="J22" s="60">
        <f>I22/D22</f>
        <v>8.2885405001866377E-2</v>
      </c>
      <c r="K22" s="59">
        <f>'TO QUOTE EA (NAR PARTS)'!F14/3.8</f>
        <v>49.500000000000007</v>
      </c>
      <c r="L22" s="60">
        <f>K22/D22</f>
        <v>0.26329787234042556</v>
      </c>
      <c r="M22" s="59">
        <f>$M$7</f>
        <v>9.6978947368421071</v>
      </c>
      <c r="N22" s="60">
        <f>M22/D22</f>
        <v>5.1584546472564399E-2</v>
      </c>
      <c r="O22" s="59">
        <f>$O$7</f>
        <v>9.2105263157894743</v>
      </c>
      <c r="P22" s="60">
        <f>O22/D22</f>
        <v>4.8992161254199335E-2</v>
      </c>
      <c r="Q22" s="155">
        <f>F22+H22+J22+L22+N22+P22</f>
        <v>0.99586766873314025</v>
      </c>
      <c r="X22" s="286"/>
    </row>
    <row r="23" spans="2:24" x14ac:dyDescent="0.25">
      <c r="B23" s="62" t="s">
        <v>53</v>
      </c>
      <c r="C23" s="152">
        <v>190</v>
      </c>
      <c r="D23" s="156">
        <f>'TO QUOTE EA'!C32</f>
        <v>207</v>
      </c>
      <c r="E23" s="59">
        <f>EXTRUSION!N35</f>
        <v>114.5319973473202</v>
      </c>
      <c r="F23" s="60">
        <f t="shared" ref="F23:F29" si="10">E23/D23</f>
        <v>0.55329467317545988</v>
      </c>
      <c r="G23" s="59">
        <v>0</v>
      </c>
      <c r="H23" s="60">
        <f t="shared" ref="H23:H29" si="11">G23/D23</f>
        <v>0</v>
      </c>
      <c r="I23" s="59">
        <f t="shared" si="9"/>
        <v>15.582456140350878</v>
      </c>
      <c r="J23" s="60">
        <f t="shared" ref="J23:J29" si="12">I23/D23</f>
        <v>7.5277565895414872E-2</v>
      </c>
      <c r="K23" s="59">
        <f>'TO QUOTE EA (NAR PARTS)'!F37/3.8</f>
        <v>57.31578947368422</v>
      </c>
      <c r="L23" s="60">
        <f t="shared" ref="L23:L29" si="13">K23/D23</f>
        <v>0.27688787185354696</v>
      </c>
      <c r="M23" s="59">
        <f>$M$7</f>
        <v>9.6978947368421071</v>
      </c>
      <c r="N23" s="60">
        <f t="shared" ref="N23:N29" si="14">M23/D23</f>
        <v>4.6849733028222741E-2</v>
      </c>
      <c r="O23" s="59">
        <f>$O$7</f>
        <v>9.2105263157894743</v>
      </c>
      <c r="P23" s="60">
        <f t="shared" ref="P23:P29" si="15">O23/D23</f>
        <v>4.4495296211543356E-2</v>
      </c>
      <c r="Q23" s="155">
        <f t="shared" ref="Q23:Q29" si="16">F23+H23+J23+L23+N23+P23</f>
        <v>0.99680514016418786</v>
      </c>
      <c r="X23" s="286"/>
    </row>
    <row r="24" spans="2:24" x14ac:dyDescent="0.25">
      <c r="B24" s="62" t="s">
        <v>54</v>
      </c>
      <c r="C24" s="152">
        <v>200</v>
      </c>
      <c r="D24" s="156">
        <f>'TO QUOTE EA'!C48</f>
        <v>226</v>
      </c>
      <c r="E24" s="59">
        <f>EXTRUSION!N52</f>
        <v>125.83175016579249</v>
      </c>
      <c r="F24" s="60">
        <f t="shared" si="10"/>
        <v>0.55677765560085168</v>
      </c>
      <c r="G24" s="59">
        <v>0</v>
      </c>
      <c r="H24" s="60">
        <f t="shared" si="11"/>
        <v>0</v>
      </c>
      <c r="I24" s="59">
        <f t="shared" si="9"/>
        <v>15.582456140350878</v>
      </c>
      <c r="J24" s="60">
        <f t="shared" si="12"/>
        <v>6.894892097500388E-2</v>
      </c>
      <c r="K24" s="59">
        <f>'TO QUOTE EA (NAR PARTS)'!F60/3.8</f>
        <v>65.131578947368425</v>
      </c>
      <c r="L24" s="60">
        <f t="shared" si="13"/>
        <v>0.28819282720074524</v>
      </c>
      <c r="M24" s="59">
        <f t="shared" ref="M24:M29" si="17">$M$7</f>
        <v>9.6978947368421071</v>
      </c>
      <c r="N24" s="60">
        <f t="shared" si="14"/>
        <v>4.2911038658593394E-2</v>
      </c>
      <c r="O24" s="59">
        <f t="shared" ref="O24:O29" si="18">$O$7</f>
        <v>9.2105263157894743</v>
      </c>
      <c r="P24" s="60">
        <f t="shared" si="15"/>
        <v>4.0754541220307409E-2</v>
      </c>
      <c r="Q24" s="155">
        <f t="shared" si="16"/>
        <v>0.99758498365550152</v>
      </c>
      <c r="X24" s="286"/>
    </row>
    <row r="25" spans="2:24" x14ac:dyDescent="0.25">
      <c r="B25" s="62" t="s">
        <v>55</v>
      </c>
      <c r="C25" s="152">
        <v>220</v>
      </c>
      <c r="D25" s="156">
        <f>'TO QUOTE EA'!C64</f>
        <v>245</v>
      </c>
      <c r="E25" s="59">
        <f>EXTRUSION!N69</f>
        <v>137.13150298426478</v>
      </c>
      <c r="F25" s="60">
        <f t="shared" si="10"/>
        <v>0.55972042034393787</v>
      </c>
      <c r="G25" s="59">
        <v>0</v>
      </c>
      <c r="H25" s="60">
        <f t="shared" si="11"/>
        <v>0</v>
      </c>
      <c r="I25" s="59">
        <f t="shared" si="9"/>
        <v>15.582456140350878</v>
      </c>
      <c r="J25" s="60">
        <f t="shared" si="12"/>
        <v>6.3601861797350528E-2</v>
      </c>
      <c r="K25" s="59">
        <f>'TO QUOTE EA (NAR PARTS)'!F83/3.8</f>
        <v>72.94736842105263</v>
      </c>
      <c r="L25" s="60">
        <f t="shared" si="13"/>
        <v>0.29774436090225564</v>
      </c>
      <c r="M25" s="59">
        <f t="shared" si="17"/>
        <v>9.6978947368421071</v>
      </c>
      <c r="N25" s="60">
        <f t="shared" si="14"/>
        <v>3.9583243823845336E-2</v>
      </c>
      <c r="O25" s="59">
        <f t="shared" si="18"/>
        <v>9.2105263157894743</v>
      </c>
      <c r="P25" s="60">
        <f t="shared" si="15"/>
        <v>3.759398496240602E-2</v>
      </c>
      <c r="Q25" s="155">
        <f t="shared" si="16"/>
        <v>0.99824387182979546</v>
      </c>
      <c r="X25" s="286"/>
    </row>
    <row r="26" spans="2:24" x14ac:dyDescent="0.25">
      <c r="B26" s="62" t="s">
        <v>56</v>
      </c>
      <c r="C26" s="152">
        <v>300</v>
      </c>
      <c r="D26" s="156">
        <f>'TO QUOTE EA'!C80</f>
        <v>264</v>
      </c>
      <c r="E26" s="59">
        <f>EXTRUSION!N86</f>
        <v>148.4312558027371</v>
      </c>
      <c r="F26" s="60">
        <f t="shared" si="10"/>
        <v>0.56223960531339812</v>
      </c>
      <c r="G26" s="59">
        <v>0</v>
      </c>
      <c r="H26" s="60">
        <f t="shared" si="11"/>
        <v>0</v>
      </c>
      <c r="I26" s="59">
        <f t="shared" si="9"/>
        <v>15.582456140350878</v>
      </c>
      <c r="J26" s="60">
        <f t="shared" si="12"/>
        <v>5.902445507708666E-2</v>
      </c>
      <c r="K26" s="59">
        <f>'TO QUOTE EA (NAR PARTS)'!F106/3.8</f>
        <v>80.76315789473685</v>
      </c>
      <c r="L26" s="60">
        <f t="shared" si="13"/>
        <v>0.30592105263157898</v>
      </c>
      <c r="M26" s="59">
        <f t="shared" si="17"/>
        <v>9.6978947368421071</v>
      </c>
      <c r="N26" s="60">
        <f t="shared" si="14"/>
        <v>3.6734449760765557E-2</v>
      </c>
      <c r="O26" s="59">
        <f t="shared" si="18"/>
        <v>9.2105263157894743</v>
      </c>
      <c r="P26" s="60">
        <f t="shared" si="15"/>
        <v>3.4888357256778309E-2</v>
      </c>
      <c r="Q26" s="155">
        <f t="shared" si="16"/>
        <v>0.99880792003960761</v>
      </c>
      <c r="X26" s="286"/>
    </row>
    <row r="27" spans="2:24" x14ac:dyDescent="0.25">
      <c r="B27" s="62" t="s">
        <v>57</v>
      </c>
      <c r="C27" s="152">
        <v>350</v>
      </c>
      <c r="D27" s="156">
        <f>'TO QUOTE EA'!C96</f>
        <v>420</v>
      </c>
      <c r="E27" s="59">
        <f>((EXTRUSION!Q93*22)/0.9)/3.8</f>
        <v>159.73100862120938</v>
      </c>
      <c r="F27" s="60">
        <f t="shared" si="10"/>
        <v>0.38031192528859376</v>
      </c>
      <c r="G27" s="59">
        <f>((EXTRUSION!Q94*22)/0.9)/3.8</f>
        <v>124.65739555073252</v>
      </c>
      <c r="H27" s="60">
        <f t="shared" si="11"/>
        <v>0.29680332273983934</v>
      </c>
      <c r="I27" s="59">
        <f t="shared" si="9"/>
        <v>30.519298245614031</v>
      </c>
      <c r="J27" s="60">
        <f t="shared" si="12"/>
        <v>7.2664995822890557E-2</v>
      </c>
      <c r="K27" s="59">
        <f>'TO QUOTE EA (NAR PARTS)'!F129/3.8</f>
        <v>88.578947368421069</v>
      </c>
      <c r="L27" s="60">
        <f t="shared" si="13"/>
        <v>0.21090225563909779</v>
      </c>
      <c r="M27" s="59">
        <f t="shared" si="17"/>
        <v>9.6978947368421071</v>
      </c>
      <c r="N27" s="60">
        <f t="shared" si="14"/>
        <v>2.3090225563909779E-2</v>
      </c>
      <c r="O27" s="59">
        <f t="shared" si="18"/>
        <v>9.2105263157894743</v>
      </c>
      <c r="P27" s="60">
        <f t="shared" si="15"/>
        <v>2.1929824561403511E-2</v>
      </c>
      <c r="Q27" s="155">
        <f t="shared" si="16"/>
        <v>1.0057025496157348</v>
      </c>
      <c r="X27" s="286"/>
    </row>
    <row r="28" spans="2:24" x14ac:dyDescent="0.25">
      <c r="B28" s="62" t="s">
        <v>58</v>
      </c>
      <c r="C28" s="152">
        <v>400</v>
      </c>
      <c r="D28" s="156">
        <f>'TO QUOTE EA'!C112</f>
        <v>461</v>
      </c>
      <c r="E28" s="59">
        <f>((EXTRUSION!Q112*22)/0.9)/3.8</f>
        <v>171.0307614396817</v>
      </c>
      <c r="F28" s="60">
        <f t="shared" si="10"/>
        <v>0.37099948251557852</v>
      </c>
      <c r="G28" s="59">
        <f>((EXTRUSION!Q113*22)/0.9)/3.8</f>
        <v>144.11480195333695</v>
      </c>
      <c r="H28" s="60">
        <f t="shared" si="11"/>
        <v>0.31261345326103462</v>
      </c>
      <c r="I28" s="59">
        <f t="shared" si="9"/>
        <v>30.519298245614031</v>
      </c>
      <c r="J28" s="60">
        <f t="shared" si="12"/>
        <v>6.6202382311527183E-2</v>
      </c>
      <c r="K28" s="59">
        <f>'TO QUOTE EA (NAR PARTS)'!F152/3.8</f>
        <v>96.394736842105274</v>
      </c>
      <c r="L28" s="60">
        <f t="shared" si="13"/>
        <v>0.20909921223884007</v>
      </c>
      <c r="M28" s="59">
        <f t="shared" si="17"/>
        <v>9.6978947368421071</v>
      </c>
      <c r="N28" s="60">
        <f t="shared" si="14"/>
        <v>2.1036648019180277E-2</v>
      </c>
      <c r="O28" s="59">
        <f t="shared" si="18"/>
        <v>9.2105263157894743</v>
      </c>
      <c r="P28" s="60">
        <f t="shared" si="15"/>
        <v>1.9979449708870878E-2</v>
      </c>
      <c r="Q28" s="155">
        <f t="shared" si="16"/>
        <v>0.99993062805503163</v>
      </c>
      <c r="X28" s="286"/>
    </row>
    <row r="29" spans="2:24" x14ac:dyDescent="0.25">
      <c r="B29" s="62" t="s">
        <v>59</v>
      </c>
      <c r="C29" s="152">
        <v>450</v>
      </c>
      <c r="D29" s="156">
        <f>'TO QUOTE EA'!C128</f>
        <v>519</v>
      </c>
      <c r="E29" s="59">
        <f>((EXTRUSION!Q131*22)/0.9)/3.8</f>
        <v>182.33051425815398</v>
      </c>
      <c r="F29" s="60">
        <f t="shared" si="10"/>
        <v>0.35131120280954525</v>
      </c>
      <c r="G29" s="59">
        <f>((EXTRUSION!Q132*22)/0.9)/3.8</f>
        <v>175.14950443118107</v>
      </c>
      <c r="H29" s="60">
        <f t="shared" si="11"/>
        <v>0.33747496036836427</v>
      </c>
      <c r="I29" s="59">
        <f t="shared" si="9"/>
        <v>37.987719298245615</v>
      </c>
      <c r="J29" s="60">
        <f t="shared" si="12"/>
        <v>7.3194064158469394E-2</v>
      </c>
      <c r="K29" s="59">
        <f>'TO QUOTE EA (NAR PARTS)'!F175/3.8</f>
        <v>104.21052631578948</v>
      </c>
      <c r="L29" s="60">
        <f t="shared" si="13"/>
        <v>0.20079099482811075</v>
      </c>
      <c r="M29" s="59">
        <f t="shared" si="17"/>
        <v>9.6978947368421071</v>
      </c>
      <c r="N29" s="60">
        <f t="shared" si="14"/>
        <v>1.8685731670216005E-2</v>
      </c>
      <c r="O29" s="59">
        <f t="shared" si="18"/>
        <v>9.2105263157894743</v>
      </c>
      <c r="P29" s="60">
        <f t="shared" si="15"/>
        <v>1.7746678835817868E-2</v>
      </c>
      <c r="Q29" s="155">
        <f t="shared" si="16"/>
        <v>0.99920363267052359</v>
      </c>
      <c r="X29" s="286"/>
    </row>
    <row r="30" spans="2:24" x14ac:dyDescent="0.25">
      <c r="B30" s="158"/>
      <c r="C30" s="159"/>
      <c r="D30" s="161"/>
      <c r="E30" s="161"/>
      <c r="F30" s="161"/>
      <c r="G30" s="159"/>
      <c r="H30" s="160"/>
      <c r="I30" s="159"/>
      <c r="J30" s="160"/>
      <c r="K30" s="159"/>
      <c r="L30" s="160"/>
      <c r="M30" s="159"/>
      <c r="N30" s="160"/>
      <c r="O30" s="159"/>
      <c r="P30" s="160"/>
      <c r="Q30" s="155"/>
      <c r="X30" s="286"/>
    </row>
    <row r="31" spans="2:24" x14ac:dyDescent="0.25">
      <c r="B31" s="158"/>
      <c r="C31" s="159"/>
      <c r="D31" s="161"/>
      <c r="E31" s="161"/>
      <c r="F31" s="161"/>
      <c r="G31" s="159"/>
      <c r="H31" s="160"/>
      <c r="I31" s="159"/>
      <c r="J31" s="160"/>
      <c r="K31" s="159"/>
      <c r="L31" s="160"/>
      <c r="M31" s="159"/>
      <c r="N31" s="160"/>
      <c r="O31" s="159"/>
      <c r="P31" s="160"/>
      <c r="Q31" s="155"/>
      <c r="X31" s="286"/>
    </row>
    <row r="32" spans="2:24" ht="21" x14ac:dyDescent="0.35">
      <c r="B32" s="61" t="s">
        <v>162</v>
      </c>
      <c r="Q32" s="155"/>
      <c r="X32" s="286"/>
    </row>
    <row r="33" spans="1:25" ht="21" x14ac:dyDescent="0.35">
      <c r="B33" s="154" t="s">
        <v>175</v>
      </c>
      <c r="Q33" s="155"/>
      <c r="X33" s="286"/>
    </row>
    <row r="34" spans="1:25" ht="15" customHeight="1" x14ac:dyDescent="0.25">
      <c r="B34" s="223" t="s">
        <v>51</v>
      </c>
      <c r="C34" s="273" t="s">
        <v>60</v>
      </c>
      <c r="D34" s="225" t="s">
        <v>164</v>
      </c>
      <c r="E34" s="189" t="s">
        <v>167</v>
      </c>
      <c r="F34" s="190"/>
      <c r="G34" s="190"/>
      <c r="H34" s="190"/>
      <c r="I34" s="190"/>
      <c r="J34" s="190"/>
      <c r="K34" s="190"/>
      <c r="L34" s="190"/>
      <c r="M34" s="265" t="s">
        <v>194</v>
      </c>
      <c r="N34" s="190"/>
      <c r="O34" s="190"/>
      <c r="P34" s="190"/>
      <c r="Q34" s="191"/>
      <c r="R34" s="155"/>
      <c r="S34" s="265" t="s">
        <v>194</v>
      </c>
      <c r="T34" s="247" t="s">
        <v>211</v>
      </c>
      <c r="U34" s="84"/>
      <c r="V34" s="247" t="s">
        <v>212</v>
      </c>
      <c r="W34" s="247" t="s">
        <v>203</v>
      </c>
      <c r="X34" s="265" t="s">
        <v>164</v>
      </c>
      <c r="Y34" s="195">
        <v>3</v>
      </c>
    </row>
    <row r="35" spans="1:25" ht="50.25" customHeight="1" x14ac:dyDescent="0.25">
      <c r="B35" s="224"/>
      <c r="C35" s="274"/>
      <c r="D35" s="226"/>
      <c r="E35" s="249" t="s">
        <v>169</v>
      </c>
      <c r="F35" s="270"/>
      <c r="G35" s="270"/>
      <c r="H35" s="250"/>
      <c r="I35" s="223" t="s">
        <v>163</v>
      </c>
      <c r="J35" s="223" t="s">
        <v>168</v>
      </c>
      <c r="K35" s="223" t="s">
        <v>174</v>
      </c>
      <c r="L35" s="223" t="s">
        <v>168</v>
      </c>
      <c r="M35" s="266"/>
      <c r="N35" s="223" t="s">
        <v>170</v>
      </c>
      <c r="O35" s="223" t="s">
        <v>168</v>
      </c>
      <c r="P35" s="223" t="s">
        <v>114</v>
      </c>
      <c r="Q35" s="223" t="s">
        <v>168</v>
      </c>
      <c r="R35" s="155"/>
      <c r="S35" s="266"/>
      <c r="T35" s="268"/>
      <c r="U35" s="172" t="s">
        <v>205</v>
      </c>
      <c r="V35" s="268"/>
      <c r="W35" s="268"/>
      <c r="X35" s="266"/>
      <c r="Y35" s="196"/>
    </row>
    <row r="36" spans="1:25" x14ac:dyDescent="0.25">
      <c r="B36" s="262"/>
      <c r="C36" s="275"/>
      <c r="D36" s="290"/>
      <c r="E36" s="163" t="s">
        <v>177</v>
      </c>
      <c r="F36" s="163" t="s">
        <v>168</v>
      </c>
      <c r="G36" s="163" t="s">
        <v>178</v>
      </c>
      <c r="H36" s="163" t="s">
        <v>168</v>
      </c>
      <c r="I36" s="262"/>
      <c r="J36" s="262"/>
      <c r="K36" s="262"/>
      <c r="L36" s="262"/>
      <c r="M36" s="267"/>
      <c r="N36" s="262"/>
      <c r="O36" s="262"/>
      <c r="P36" s="262"/>
      <c r="Q36" s="262"/>
      <c r="R36" s="155"/>
      <c r="S36" s="267"/>
      <c r="T36" s="269"/>
      <c r="U36" s="173"/>
      <c r="V36" s="269"/>
      <c r="W36" s="269"/>
      <c r="X36" s="267"/>
      <c r="Y36" s="196"/>
    </row>
    <row r="37" spans="1:25" x14ac:dyDescent="0.25">
      <c r="A37" s="271" t="s">
        <v>206</v>
      </c>
      <c r="B37" s="62" t="s">
        <v>52</v>
      </c>
      <c r="C37" s="152">
        <v>180</v>
      </c>
      <c r="D37" s="179">
        <f t="shared" ref="D37:D44" si="19">E37+G37+I37+K37+N37+P37</f>
        <v>183.30691032365479</v>
      </c>
      <c r="E37" s="59">
        <f>EXTRUSION!O17</f>
        <v>100.58526389990308</v>
      </c>
      <c r="F37" s="60">
        <f>E37/D37</f>
        <v>0.54872597940964307</v>
      </c>
      <c r="G37" s="59">
        <v>0</v>
      </c>
      <c r="H37" s="60">
        <f>G37/D37</f>
        <v>0</v>
      </c>
      <c r="I37" s="59">
        <f t="shared" ref="I37:I44" si="20">$I22</f>
        <v>15.582456140350878</v>
      </c>
      <c r="J37" s="60">
        <f>I37/D37</f>
        <v>8.5007467055321612E-2</v>
      </c>
      <c r="K37" s="59">
        <f>'TO QUOTE EA (NAR PARTS)'!F14/3.9</f>
        <v>48.230769230769241</v>
      </c>
      <c r="L37" s="60">
        <f t="shared" ref="L37:L44" si="21">L22-5%</f>
        <v>0.21329787234042558</v>
      </c>
      <c r="M37" s="171">
        <f>(D37*4)/EXTRUSION!K12</f>
        <v>47.102970798969061</v>
      </c>
      <c r="N37" s="59">
        <f>$M$7</f>
        <v>9.6978947368421071</v>
      </c>
      <c r="O37" s="60">
        <f t="shared" ref="O37:O44" si="22">N37/D37</f>
        <v>5.2905232648998747E-2</v>
      </c>
      <c r="P37" s="59">
        <f>$O$7</f>
        <v>9.2105263157894743</v>
      </c>
      <c r="Q37" s="60">
        <f t="shared" ref="Q37:Q44" si="23">P37/D37</f>
        <v>5.0246476248642029E-2</v>
      </c>
      <c r="R37" s="198">
        <f t="shared" ref="R37:R44" si="24">F37+H37+J37+L37+O37+Q37</f>
        <v>0.95018302770303087</v>
      </c>
      <c r="S37" s="171">
        <f>(D37*4)/EXTRUSION!K12</f>
        <v>47.102970798969061</v>
      </c>
      <c r="T37" s="174">
        <f>((E37+G37+K37)*3.9)/EXTRUSION!K12</f>
        <v>37.284111762786132</v>
      </c>
      <c r="U37" s="199">
        <f>EXTRUSION!K15</f>
        <v>16.047921649484536</v>
      </c>
      <c r="V37" s="174">
        <f>I37*3.9</f>
        <v>60.771578947368425</v>
      </c>
      <c r="W37" s="174">
        <f>((N37+P37)*3.9)</f>
        <v>73.742842105263165</v>
      </c>
      <c r="X37" s="162">
        <f>((T37*U37)+W37+V37)/3.9</f>
        <v>187.90946804934572</v>
      </c>
      <c r="Y37" s="196"/>
    </row>
    <row r="38" spans="1:25" x14ac:dyDescent="0.25">
      <c r="A38" s="272"/>
      <c r="B38" s="62" t="s">
        <v>53</v>
      </c>
      <c r="C38" s="152">
        <v>190</v>
      </c>
      <c r="D38" s="179">
        <f t="shared" si="19"/>
        <v>201.93231050575599</v>
      </c>
      <c r="E38" s="59">
        <f>EXTRUSION!O35</f>
        <v>111.59527946661967</v>
      </c>
      <c r="F38" s="60">
        <f t="shared" ref="F38:F44" si="25">E38/D38</f>
        <v>0.55263706529737699</v>
      </c>
      <c r="G38" s="59">
        <v>0</v>
      </c>
      <c r="H38" s="60">
        <f t="shared" ref="H38:H44" si="26">G38/D38</f>
        <v>0</v>
      </c>
      <c r="I38" s="59">
        <f t="shared" si="20"/>
        <v>15.582456140350878</v>
      </c>
      <c r="J38" s="60">
        <f t="shared" ref="J38:J44" si="27">I38/D38</f>
        <v>7.7166730283644763E-2</v>
      </c>
      <c r="K38" s="59">
        <f>'TO QUOTE EA (NAR PARTS)'!F37/3.9</f>
        <v>55.846153846153854</v>
      </c>
      <c r="L38" s="60">
        <f t="shared" si="21"/>
        <v>0.22688787185354697</v>
      </c>
      <c r="M38" s="171">
        <f>(D38*4)/EXTRUSION!K30</f>
        <v>46.769616820507522</v>
      </c>
      <c r="N38" s="59">
        <f>$M$7</f>
        <v>9.6978947368421071</v>
      </c>
      <c r="O38" s="60">
        <f t="shared" si="22"/>
        <v>4.8025473053583831E-2</v>
      </c>
      <c r="P38" s="59">
        <f>$O$7</f>
        <v>9.2105263157894743</v>
      </c>
      <c r="Q38" s="60">
        <f t="shared" si="23"/>
        <v>4.5611949334511931E-2</v>
      </c>
      <c r="R38" s="198">
        <f t="shared" si="24"/>
        <v>0.95032908982266451</v>
      </c>
      <c r="S38" s="171">
        <f>(D38*4)/EXTRUSION!K30</f>
        <v>46.769616820507522</v>
      </c>
      <c r="T38" s="174">
        <f>((E38+G38+K38)*3.9)/EXTRUSION!K30</f>
        <v>37.811642747481287</v>
      </c>
      <c r="U38" s="199">
        <f>EXTRUSION!K33</f>
        <v>17.804519587628867</v>
      </c>
      <c r="V38" s="174">
        <f t="shared" ref="V38:V41" si="28">I38*3.9</f>
        <v>60.771578947368425</v>
      </c>
      <c r="W38" s="174">
        <f t="shared" ref="W38:W41" si="29">((N38+P38)*3.9)</f>
        <v>73.742842105263165</v>
      </c>
      <c r="X38" s="162">
        <f t="shared" ref="X38:X41" si="30">((T38*U38)+W38+V38)/3.9</f>
        <v>207.11091153604801</v>
      </c>
      <c r="Y38" s="196"/>
    </row>
    <row r="39" spans="1:25" x14ac:dyDescent="0.25">
      <c r="A39" s="272"/>
      <c r="B39" s="62" t="s">
        <v>54</v>
      </c>
      <c r="C39" s="152">
        <v>200</v>
      </c>
      <c r="D39" s="179">
        <f t="shared" si="19"/>
        <v>220.5577106878572</v>
      </c>
      <c r="E39" s="59">
        <f>EXTRUSION!O52</f>
        <v>122.60529503333628</v>
      </c>
      <c r="F39" s="60">
        <f t="shared" si="25"/>
        <v>0.55588759355075368</v>
      </c>
      <c r="G39" s="59">
        <v>0</v>
      </c>
      <c r="H39" s="60">
        <f t="shared" si="26"/>
        <v>0</v>
      </c>
      <c r="I39" s="59">
        <f t="shared" si="20"/>
        <v>15.582456140350878</v>
      </c>
      <c r="J39" s="60">
        <f t="shared" si="27"/>
        <v>7.0650244290954956E-2</v>
      </c>
      <c r="K39" s="59">
        <f>'TO QUOTE EA (NAR PARTS)'!F60/3.9</f>
        <v>63.46153846153846</v>
      </c>
      <c r="L39" s="60">
        <f t="shared" si="21"/>
        <v>0.23819282720074525</v>
      </c>
      <c r="M39" s="171">
        <f>(D39*4)/EXTRUSION!K47</f>
        <v>46.496133543243523</v>
      </c>
      <c r="N39" s="59">
        <f t="shared" ref="N39:N44" si="31">$M$7</f>
        <v>9.6978947368421071</v>
      </c>
      <c r="O39" s="60">
        <f t="shared" si="22"/>
        <v>4.3969873946356777E-2</v>
      </c>
      <c r="P39" s="59">
        <f t="shared" ref="P39:P44" si="32">$O$7</f>
        <v>9.2105263157894743</v>
      </c>
      <c r="Q39" s="60">
        <f t="shared" si="23"/>
        <v>4.1760164661958289E-2</v>
      </c>
      <c r="R39" s="198">
        <f t="shared" si="24"/>
        <v>0.95046070365076885</v>
      </c>
      <c r="S39" s="171">
        <f>(D39*4)/EXTRUSION!K47</f>
        <v>46.496133543243523</v>
      </c>
      <c r="T39" s="174">
        <f>((E39+G39+K39)*3.9)/EXTRUSION!K47</f>
        <v>38.24442865037814</v>
      </c>
      <c r="U39" s="199">
        <f>EXTRUSION!K50</f>
        <v>19.561117525773195</v>
      </c>
      <c r="V39" s="174">
        <f t="shared" si="28"/>
        <v>60.771578947368425</v>
      </c>
      <c r="W39" s="174">
        <f t="shared" si="29"/>
        <v>73.742842105263165</v>
      </c>
      <c r="X39" s="162">
        <f t="shared" si="30"/>
        <v>226.31235502275024</v>
      </c>
      <c r="Y39" s="196"/>
    </row>
    <row r="40" spans="1:25" x14ac:dyDescent="0.25">
      <c r="A40" s="272"/>
      <c r="B40" s="62" t="s">
        <v>55</v>
      </c>
      <c r="C40" s="152">
        <v>220</v>
      </c>
      <c r="D40" s="179">
        <f t="shared" si="19"/>
        <v>239.1831108699584</v>
      </c>
      <c r="E40" s="59">
        <f>EXTRUSION!O69</f>
        <v>133.61531060005285</v>
      </c>
      <c r="F40" s="60">
        <f t="shared" si="25"/>
        <v>0.55863187878971199</v>
      </c>
      <c r="G40" s="59">
        <v>0</v>
      </c>
      <c r="H40" s="60">
        <f t="shared" si="26"/>
        <v>0</v>
      </c>
      <c r="I40" s="59">
        <f t="shared" si="20"/>
        <v>15.582456140350878</v>
      </c>
      <c r="J40" s="60">
        <f t="shared" si="27"/>
        <v>6.5148647342507859E-2</v>
      </c>
      <c r="K40" s="59">
        <f>'TO QUOTE EA (NAR PARTS)'!F83/3.9</f>
        <v>71.07692307692308</v>
      </c>
      <c r="L40" s="60">
        <f t="shared" si="21"/>
        <v>0.24774436090225566</v>
      </c>
      <c r="M40" s="171">
        <f>(D40*4)/EXTRUSION!K64</f>
        <v>46.267720776632686</v>
      </c>
      <c r="N40" s="59">
        <f t="shared" si="31"/>
        <v>9.6978947368421071</v>
      </c>
      <c r="O40" s="60">
        <f t="shared" si="22"/>
        <v>4.0545901011023983E-2</v>
      </c>
      <c r="P40" s="59">
        <f t="shared" si="32"/>
        <v>9.2105263157894743</v>
      </c>
      <c r="Q40" s="60">
        <f t="shared" si="23"/>
        <v>3.8508263741068034E-2</v>
      </c>
      <c r="R40" s="198">
        <f t="shared" si="24"/>
        <v>0.95057905178656743</v>
      </c>
      <c r="S40" s="171">
        <f>(D40*4)/EXTRUSION!K64</f>
        <v>46.267720776632686</v>
      </c>
      <c r="T40" s="174">
        <f>((E40+G40+K40)*3.9)/EXTRUSION!K64</f>
        <v>38.605890698148642</v>
      </c>
      <c r="U40" s="199">
        <f>EXTRUSION!K67</f>
        <v>21.317715463917526</v>
      </c>
      <c r="V40" s="174">
        <f t="shared" si="28"/>
        <v>60.771578947368425</v>
      </c>
      <c r="W40" s="174">
        <f t="shared" si="29"/>
        <v>73.742842105263165</v>
      </c>
      <c r="X40" s="162">
        <f t="shared" si="30"/>
        <v>245.5137985094525</v>
      </c>
      <c r="Y40" s="196"/>
    </row>
    <row r="41" spans="1:25" x14ac:dyDescent="0.25">
      <c r="A41" s="272"/>
      <c r="B41" s="62" t="s">
        <v>56</v>
      </c>
      <c r="C41" s="152">
        <v>300</v>
      </c>
      <c r="D41" s="179">
        <f t="shared" si="19"/>
        <v>257.8085110520596</v>
      </c>
      <c r="E41" s="59">
        <f>(EXTRUSION!O86)</f>
        <v>144.62532616676947</v>
      </c>
      <c r="F41" s="60">
        <f t="shared" si="25"/>
        <v>0.56097964173713832</v>
      </c>
      <c r="G41" s="59">
        <v>0</v>
      </c>
      <c r="H41" s="60">
        <f t="shared" si="26"/>
        <v>0</v>
      </c>
      <c r="I41" s="59">
        <f t="shared" si="20"/>
        <v>15.582456140350878</v>
      </c>
      <c r="J41" s="60">
        <f t="shared" si="27"/>
        <v>6.0441977174307847E-2</v>
      </c>
      <c r="K41" s="59">
        <f>'TO QUOTE EA (NAR PARTS)'!F106/3.9</f>
        <v>78.692307692307708</v>
      </c>
      <c r="L41" s="60">
        <f t="shared" si="21"/>
        <v>0.25592105263157899</v>
      </c>
      <c r="M41" s="171">
        <f>(D41*4)/EXTRUSION!K81</f>
        <v>46.074085157049652</v>
      </c>
      <c r="N41" s="59">
        <f t="shared" si="31"/>
        <v>9.6978947368421071</v>
      </c>
      <c r="O41" s="60">
        <f t="shared" si="22"/>
        <v>3.761665857060785E-2</v>
      </c>
      <c r="P41" s="59">
        <f t="shared" si="32"/>
        <v>9.2105263157894743</v>
      </c>
      <c r="Q41" s="60">
        <f t="shared" si="23"/>
        <v>3.5726230597288466E-2</v>
      </c>
      <c r="R41" s="198">
        <f t="shared" si="24"/>
        <v>0.95068556071092147</v>
      </c>
      <c r="S41" s="171">
        <f>(D41*4)/EXTRUSION!K81</f>
        <v>46.074085157049652</v>
      </c>
      <c r="T41" s="174">
        <f>((E41+G41+K41)*3.9)/EXTRUSION!K81</f>
        <v>38.912318086662573</v>
      </c>
      <c r="U41" s="199">
        <f>EXTRUSION!K84</f>
        <v>23.074313402061854</v>
      </c>
      <c r="V41" s="174">
        <f t="shared" si="28"/>
        <v>60.771578947368425</v>
      </c>
      <c r="W41" s="174">
        <f t="shared" si="29"/>
        <v>73.742842105263165</v>
      </c>
      <c r="X41" s="162">
        <f t="shared" si="30"/>
        <v>264.71524199615482</v>
      </c>
      <c r="Y41" s="196"/>
    </row>
    <row r="42" spans="1:25" x14ac:dyDescent="0.25">
      <c r="A42" s="263" t="s">
        <v>207</v>
      </c>
      <c r="B42" s="62" t="s">
        <v>57</v>
      </c>
      <c r="C42" s="152">
        <v>350</v>
      </c>
      <c r="D42" s="162">
        <f t="shared" si="19"/>
        <v>412.83180541449673</v>
      </c>
      <c r="E42" s="59">
        <f>((EXTRUSION!Q93*22)/0.9)/3.9</f>
        <v>155.63534173348609</v>
      </c>
      <c r="F42" s="60">
        <f t="shared" si="25"/>
        <v>0.3769945524842086</v>
      </c>
      <c r="G42" s="59">
        <f>((EXTRUSION!Q94*22)/0.9)/3.9</f>
        <v>121.4610520750727</v>
      </c>
      <c r="H42" s="60">
        <f t="shared" si="26"/>
        <v>0.29421437612618484</v>
      </c>
      <c r="I42" s="59">
        <f t="shared" si="20"/>
        <v>30.519298245614031</v>
      </c>
      <c r="J42" s="60">
        <f t="shared" si="27"/>
        <v>7.3926712635359215E-2</v>
      </c>
      <c r="K42" s="59">
        <f>'TO QUOTE EA (NAR PARTS)'!F129/3.9</f>
        <v>86.307692307692321</v>
      </c>
      <c r="L42" s="60">
        <f t="shared" si="21"/>
        <v>0.16090225563909777</v>
      </c>
      <c r="M42" s="162" t="e">
        <f>(D42*4)/EXTRUSION!K17</f>
        <v>#DIV/0!</v>
      </c>
      <c r="N42" s="59">
        <f t="shared" si="31"/>
        <v>9.6978947368421071</v>
      </c>
      <c r="O42" s="60">
        <f t="shared" si="22"/>
        <v>2.3491152110010276E-2</v>
      </c>
      <c r="P42" s="59">
        <f t="shared" si="32"/>
        <v>9.2105263157894743</v>
      </c>
      <c r="Q42" s="60">
        <f t="shared" si="23"/>
        <v>2.2310602514120256E-2</v>
      </c>
      <c r="R42" s="198">
        <f t="shared" si="24"/>
        <v>0.95183965150898098</v>
      </c>
      <c r="S42" s="171">
        <f>(D42*4)/EXTRUSION!K100</f>
        <v>38.507568482854488</v>
      </c>
      <c r="T42" s="174" t="e">
        <f>((N42+P42)*4)/EXTRUSION!K17</f>
        <v>#DIV/0!</v>
      </c>
      <c r="U42" s="174"/>
      <c r="V42" s="174"/>
      <c r="W42" s="174">
        <f t="shared" ref="W42:W44" si="33">((N42+P42)*4)</f>
        <v>75.633684210526326</v>
      </c>
      <c r="X42" s="174" t="e">
        <f>((T42*U42)+W42)/3.9</f>
        <v>#DIV/0!</v>
      </c>
      <c r="Y42" s="196"/>
    </row>
    <row r="43" spans="1:25" x14ac:dyDescent="0.25">
      <c r="A43" s="264"/>
      <c r="B43" s="62" t="s">
        <v>58</v>
      </c>
      <c r="C43" s="152">
        <v>400</v>
      </c>
      <c r="D43" s="162">
        <f t="shared" si="19"/>
        <v>450.41570414272536</v>
      </c>
      <c r="E43" s="59">
        <f>((EXTRUSION!Q112*22)/0.9)/3.9</f>
        <v>166.64535730020268</v>
      </c>
      <c r="F43" s="60">
        <f t="shared" si="25"/>
        <v>0.36998123237594083</v>
      </c>
      <c r="G43" s="59">
        <f>((EXTRUSION!Q113*22)/0.9)/3.9</f>
        <v>140.4195506212001</v>
      </c>
      <c r="H43" s="60">
        <f t="shared" si="26"/>
        <v>0.311755450197857</v>
      </c>
      <c r="I43" s="59">
        <f t="shared" si="20"/>
        <v>30.519298245614031</v>
      </c>
      <c r="J43" s="60">
        <f t="shared" si="27"/>
        <v>6.7758068746073818E-2</v>
      </c>
      <c r="K43" s="59">
        <f>'TO QUOTE EA (NAR PARTS)'!F152/3.9</f>
        <v>93.923076923076934</v>
      </c>
      <c r="L43" s="60">
        <f t="shared" si="21"/>
        <v>0.15909921223884005</v>
      </c>
      <c r="M43" s="162" t="e">
        <f>(D43*4)/EXTRUSION!K18</f>
        <v>#DIV/0!</v>
      </c>
      <c r="N43" s="59">
        <f t="shared" si="31"/>
        <v>9.6978947368421071</v>
      </c>
      <c r="O43" s="60">
        <f t="shared" si="22"/>
        <v>2.1530987147306679E-2</v>
      </c>
      <c r="P43" s="59">
        <f t="shared" si="32"/>
        <v>9.2105263157894743</v>
      </c>
      <c r="Q43" s="60">
        <f t="shared" si="23"/>
        <v>2.0448945787358452E-2</v>
      </c>
      <c r="R43" s="198">
        <f t="shared" si="24"/>
        <v>0.95057389649337687</v>
      </c>
      <c r="S43" s="171">
        <f>(D43*4)/EXTRUSION!K119</f>
        <v>37.912913365887754</v>
      </c>
      <c r="T43" s="174" t="e">
        <f>((N43+P43)*4)/EXTRUSION!K18</f>
        <v>#DIV/0!</v>
      </c>
      <c r="U43" s="174"/>
      <c r="V43" s="174"/>
      <c r="W43" s="174">
        <f t="shared" si="33"/>
        <v>75.633684210526326</v>
      </c>
      <c r="X43" s="174" t="e">
        <f>((T43*U43)+W43)/3.9</f>
        <v>#DIV/0!</v>
      </c>
      <c r="Y43" s="196"/>
    </row>
    <row r="44" spans="1:25" x14ac:dyDescent="0.25">
      <c r="A44" s="264"/>
      <c r="B44" s="62" t="s">
        <v>59</v>
      </c>
      <c r="C44" s="152">
        <v>450</v>
      </c>
      <c r="D44" s="162">
        <f t="shared" si="19"/>
        <v>511.42360764454099</v>
      </c>
      <c r="E44" s="59">
        <f>((EXTRUSION!Q131*22)/0.9)/3.8</f>
        <v>182.33051425815398</v>
      </c>
      <c r="F44" s="60">
        <f t="shared" si="25"/>
        <v>0.35651563895908511</v>
      </c>
      <c r="G44" s="59">
        <f>((EXTRUSION!Q132*22)/0.9)/3.9</f>
        <v>170.65849149704823</v>
      </c>
      <c r="H44" s="60">
        <f t="shared" si="26"/>
        <v>0.33369302657546152</v>
      </c>
      <c r="I44" s="59">
        <f t="shared" si="20"/>
        <v>37.987719298245615</v>
      </c>
      <c r="J44" s="60">
        <f t="shared" si="27"/>
        <v>7.4278384357744656E-2</v>
      </c>
      <c r="K44" s="59">
        <f>'TO QUOTE EA (NAR PARTS)'!F175/3.9</f>
        <v>101.53846153846155</v>
      </c>
      <c r="L44" s="60">
        <f t="shared" si="21"/>
        <v>0.15079099482811076</v>
      </c>
      <c r="M44" s="162" t="e">
        <f>(D44*4)/EXTRUSION!K19</f>
        <v>#DIV/0!</v>
      </c>
      <c r="N44" s="59">
        <f t="shared" si="31"/>
        <v>9.6978947368421071</v>
      </c>
      <c r="O44" s="60">
        <f t="shared" si="22"/>
        <v>1.8962548055823258E-2</v>
      </c>
      <c r="P44" s="59">
        <f t="shared" si="32"/>
        <v>9.2105263157894743</v>
      </c>
      <c r="Q44" s="60">
        <f t="shared" si="23"/>
        <v>1.8009583793384725E-2</v>
      </c>
      <c r="R44" s="198">
        <f t="shared" si="24"/>
        <v>0.95225017656961009</v>
      </c>
      <c r="S44" s="171">
        <f>(D44*4)/EXTRUSION!K138</f>
        <v>37.950179231524004</v>
      </c>
      <c r="T44" s="174" t="e">
        <f>((N44+P44)*4)/EXTRUSION!K19</f>
        <v>#DIV/0!</v>
      </c>
      <c r="U44" s="174"/>
      <c r="V44" s="174"/>
      <c r="W44" s="174">
        <f t="shared" si="33"/>
        <v>75.633684210526326</v>
      </c>
      <c r="X44" s="174" t="e">
        <f>((T44*U44)+W44)/3.9</f>
        <v>#DIV/0!</v>
      </c>
      <c r="Y44" s="196"/>
    </row>
    <row r="45" spans="1:25" x14ac:dyDescent="0.25">
      <c r="X45" s="196"/>
    </row>
    <row r="46" spans="1:25" x14ac:dyDescent="0.25">
      <c r="X46" s="196"/>
    </row>
    <row r="47" spans="1:25" ht="21" x14ac:dyDescent="0.35">
      <c r="B47" s="61" t="s">
        <v>162</v>
      </c>
      <c r="X47" s="197"/>
    </row>
    <row r="48" spans="1:25" ht="21" x14ac:dyDescent="0.35">
      <c r="B48" s="154" t="s">
        <v>173</v>
      </c>
    </row>
    <row r="49" spans="2:17" ht="15" customHeight="1" x14ac:dyDescent="0.25">
      <c r="B49" s="223" t="s">
        <v>51</v>
      </c>
      <c r="C49" s="273" t="s">
        <v>60</v>
      </c>
      <c r="D49" s="287" t="s">
        <v>164</v>
      </c>
      <c r="E49" s="279" t="s">
        <v>167</v>
      </c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1"/>
    </row>
    <row r="50" spans="2:17" ht="45" customHeight="1" x14ac:dyDescent="0.25">
      <c r="B50" s="224"/>
      <c r="C50" s="274"/>
      <c r="D50" s="288"/>
      <c r="E50" s="249" t="s">
        <v>169</v>
      </c>
      <c r="F50" s="270"/>
      <c r="G50" s="270"/>
      <c r="H50" s="250"/>
      <c r="I50" s="223" t="s">
        <v>163</v>
      </c>
      <c r="J50" s="223" t="s">
        <v>168</v>
      </c>
      <c r="K50" s="223" t="s">
        <v>172</v>
      </c>
      <c r="L50" s="223" t="s">
        <v>168</v>
      </c>
      <c r="M50" s="223" t="s">
        <v>170</v>
      </c>
      <c r="N50" s="223" t="s">
        <v>168</v>
      </c>
      <c r="O50" s="223" t="s">
        <v>114</v>
      </c>
      <c r="P50" s="223" t="s">
        <v>168</v>
      </c>
    </row>
    <row r="51" spans="2:17" x14ac:dyDescent="0.25">
      <c r="B51" s="262"/>
      <c r="C51" s="275"/>
      <c r="D51" s="289"/>
      <c r="E51" s="163" t="s">
        <v>177</v>
      </c>
      <c r="F51" s="163" t="s">
        <v>168</v>
      </c>
      <c r="G51" s="163" t="s">
        <v>178</v>
      </c>
      <c r="H51" s="163" t="s">
        <v>168</v>
      </c>
      <c r="I51" s="262"/>
      <c r="J51" s="262"/>
      <c r="K51" s="262"/>
      <c r="L51" s="262"/>
      <c r="M51" s="262"/>
      <c r="N51" s="262"/>
      <c r="O51" s="262"/>
      <c r="P51" s="262"/>
    </row>
    <row r="52" spans="2:17" x14ac:dyDescent="0.25">
      <c r="B52" s="62" t="s">
        <v>52</v>
      </c>
      <c r="C52" s="152">
        <v>180</v>
      </c>
      <c r="D52" s="157">
        <f>E52+G52+I52+K52+M52+O52</f>
        <v>236.59601645867247</v>
      </c>
      <c r="E52" s="59">
        <f>$E22</f>
        <v>103.2322445288479</v>
      </c>
      <c r="F52" s="60">
        <f>(E52/D52)</f>
        <v>0.43632283448390202</v>
      </c>
      <c r="G52" s="59">
        <f t="shared" ref="G52:G59" si="34">$G22</f>
        <v>0</v>
      </c>
      <c r="H52" s="60">
        <f>(G52/D52)</f>
        <v>0</v>
      </c>
      <c r="I52" s="59">
        <f t="shared" ref="I52:I59" si="35">$I22</f>
        <v>15.582456140350878</v>
      </c>
      <c r="J52" s="60">
        <f>I52/D52</f>
        <v>6.5861024938569712E-2</v>
      </c>
      <c r="K52" s="59">
        <f>(((3*(293.06/10)*1.5))+(2*(812.8/10)*1.5))/3.8</f>
        <v>98.872894736842099</v>
      </c>
      <c r="L52" s="60">
        <f>K52/D52</f>
        <v>0.41789754627636672</v>
      </c>
      <c r="M52" s="59">
        <f>$M$7</f>
        <v>9.6978947368421071</v>
      </c>
      <c r="N52" s="60">
        <f>M52/D52</f>
        <v>4.0989256209797986E-2</v>
      </c>
      <c r="O52" s="59">
        <f>$O$7</f>
        <v>9.2105263157894743</v>
      </c>
      <c r="P52" s="60">
        <f>O52/D52</f>
        <v>3.8929338091363543E-2</v>
      </c>
      <c r="Q52" s="155">
        <f>F52+H52+J52+L52+N52+P52</f>
        <v>1</v>
      </c>
    </row>
    <row r="53" spans="2:17" x14ac:dyDescent="0.25">
      <c r="B53" s="62" t="s">
        <v>53</v>
      </c>
      <c r="C53" s="152">
        <v>190</v>
      </c>
      <c r="D53" s="157">
        <f t="shared" ref="D53:D59" si="36">E53+G53+I53+K53+M53+O53</f>
        <v>259.46392717188161</v>
      </c>
      <c r="E53" s="59">
        <f t="shared" ref="E53:E59" si="37">$E23</f>
        <v>114.5319973473202</v>
      </c>
      <c r="F53" s="60">
        <f t="shared" ref="F53:F59" si="38">(E53/D53)</f>
        <v>0.44141780553351678</v>
      </c>
      <c r="G53" s="59">
        <f t="shared" si="34"/>
        <v>0</v>
      </c>
      <c r="H53" s="60">
        <f t="shared" ref="H53:H59" si="39">(G53/D53)</f>
        <v>0</v>
      </c>
      <c r="I53" s="59">
        <f t="shared" si="35"/>
        <v>15.582456140350878</v>
      </c>
      <c r="J53" s="60">
        <f t="shared" ref="J53:J59" si="40">I53/D53</f>
        <v>6.0056348912148762E-2</v>
      </c>
      <c r="K53" s="59">
        <f>(((4*(293.06/10)*1.5))+(2*(812.8/10)*1.5))/3.8</f>
        <v>110.44105263157897</v>
      </c>
      <c r="L53" s="60">
        <f t="shared" ref="L53:L59" si="41">K53/D53</f>
        <v>0.42565089427023667</v>
      </c>
      <c r="M53" s="59">
        <f>$M$7</f>
        <v>9.6978947368421071</v>
      </c>
      <c r="N53" s="60">
        <f t="shared" ref="N53:N59" si="42">M53/D53</f>
        <v>3.7376659031364105E-2</v>
      </c>
      <c r="O53" s="59">
        <f>$O$7</f>
        <v>9.2105263157894743</v>
      </c>
      <c r="P53" s="60">
        <f t="shared" ref="P53:P59" si="43">O53/D53</f>
        <v>3.5498292252733731E-2</v>
      </c>
      <c r="Q53" s="155">
        <f t="shared" ref="Q53:Q59" si="44">F53+H53+J53+L53+N53+P53</f>
        <v>1</v>
      </c>
    </row>
    <row r="54" spans="2:17" x14ac:dyDescent="0.25">
      <c r="B54" s="62" t="s">
        <v>54</v>
      </c>
      <c r="C54" s="152">
        <v>200</v>
      </c>
      <c r="D54" s="157">
        <f t="shared" si="36"/>
        <v>282.33183788509075</v>
      </c>
      <c r="E54" s="59">
        <f t="shared" si="37"/>
        <v>125.83175016579249</v>
      </c>
      <c r="F54" s="60">
        <f t="shared" si="38"/>
        <v>0.44568742621583507</v>
      </c>
      <c r="G54" s="59">
        <f t="shared" si="34"/>
        <v>0</v>
      </c>
      <c r="H54" s="60">
        <f t="shared" si="39"/>
        <v>0</v>
      </c>
      <c r="I54" s="59">
        <f t="shared" si="35"/>
        <v>15.582456140350878</v>
      </c>
      <c r="J54" s="60">
        <f t="shared" si="40"/>
        <v>5.519199059191103E-2</v>
      </c>
      <c r="K54" s="59">
        <f>(((5*(293.06/10)*1.5))+(2*(812.8/10)*1.5))/3.8</f>
        <v>122.0092105263158</v>
      </c>
      <c r="L54" s="60">
        <f t="shared" si="41"/>
        <v>0.43214825306373572</v>
      </c>
      <c r="M54" s="59">
        <f t="shared" ref="M54:M59" si="45">$M$7</f>
        <v>9.6978947368421071</v>
      </c>
      <c r="N54" s="60">
        <f t="shared" si="42"/>
        <v>3.4349277819631367E-2</v>
      </c>
      <c r="O54" s="59">
        <f t="shared" ref="O54:O59" si="46">$O$7</f>
        <v>9.2105263157894743</v>
      </c>
      <c r="P54" s="60">
        <f t="shared" si="43"/>
        <v>3.2623052308886839E-2</v>
      </c>
      <c r="Q54" s="155">
        <f t="shared" si="44"/>
        <v>1</v>
      </c>
    </row>
    <row r="55" spans="2:17" x14ac:dyDescent="0.25">
      <c r="B55" s="62" t="s">
        <v>55</v>
      </c>
      <c r="C55" s="152">
        <v>220</v>
      </c>
      <c r="D55" s="157">
        <f t="shared" si="36"/>
        <v>305.19974859829989</v>
      </c>
      <c r="E55" s="59">
        <f t="shared" si="37"/>
        <v>137.13150298426478</v>
      </c>
      <c r="F55" s="60">
        <f t="shared" si="38"/>
        <v>0.44931722130857832</v>
      </c>
      <c r="G55" s="59">
        <f t="shared" si="34"/>
        <v>0</v>
      </c>
      <c r="H55" s="60">
        <f t="shared" si="39"/>
        <v>0</v>
      </c>
      <c r="I55" s="59">
        <f t="shared" si="35"/>
        <v>15.582456140350878</v>
      </c>
      <c r="J55" s="60">
        <f t="shared" si="40"/>
        <v>5.1056582490375223E-2</v>
      </c>
      <c r="K55" s="59">
        <f>(((6*(293.06/10)*1.5))+(2*(812.8/10)*1.5))/3.8</f>
        <v>133.57736842105265</v>
      </c>
      <c r="L55" s="60">
        <f t="shared" si="41"/>
        <v>0.43767194774745877</v>
      </c>
      <c r="M55" s="59">
        <f t="shared" si="45"/>
        <v>9.6978947368421071</v>
      </c>
      <c r="N55" s="60">
        <f t="shared" si="42"/>
        <v>3.1775565941262802E-2</v>
      </c>
      <c r="O55" s="59">
        <f t="shared" si="46"/>
        <v>9.2105263157894743</v>
      </c>
      <c r="P55" s="60">
        <f t="shared" si="43"/>
        <v>3.0178682512324917E-2</v>
      </c>
      <c r="Q55" s="155">
        <f t="shared" si="44"/>
        <v>1</v>
      </c>
    </row>
    <row r="56" spans="2:17" x14ac:dyDescent="0.25">
      <c r="B56" s="62" t="s">
        <v>56</v>
      </c>
      <c r="C56" s="152">
        <v>300</v>
      </c>
      <c r="D56" s="157">
        <f t="shared" si="36"/>
        <v>328.06765931150903</v>
      </c>
      <c r="E56" s="59">
        <f t="shared" si="37"/>
        <v>148.4312558027371</v>
      </c>
      <c r="F56" s="60">
        <f t="shared" si="38"/>
        <v>0.45244098767381896</v>
      </c>
      <c r="G56" s="59">
        <f t="shared" si="34"/>
        <v>0</v>
      </c>
      <c r="H56" s="60">
        <f t="shared" si="39"/>
        <v>0</v>
      </c>
      <c r="I56" s="59">
        <f t="shared" si="35"/>
        <v>15.582456140350878</v>
      </c>
      <c r="J56" s="60">
        <f t="shared" si="40"/>
        <v>4.7497690485714471E-2</v>
      </c>
      <c r="K56" s="59">
        <f>(((7*(293.06/10)*1.5))+(2*(812.8/10)*1.5))/3.8</f>
        <v>145.14552631578948</v>
      </c>
      <c r="L56" s="60">
        <f t="shared" si="41"/>
        <v>0.44242558568679247</v>
      </c>
      <c r="M56" s="59">
        <f t="shared" si="45"/>
        <v>9.6978947368421071</v>
      </c>
      <c r="N56" s="60">
        <f t="shared" si="42"/>
        <v>2.9560654522284673E-2</v>
      </c>
      <c r="O56" s="59">
        <f t="shared" si="46"/>
        <v>9.2105263157894743</v>
      </c>
      <c r="P56" s="60">
        <f t="shared" si="43"/>
        <v>2.8075081631389436E-2</v>
      </c>
      <c r="Q56" s="155">
        <f t="shared" si="44"/>
        <v>0.99999999999999989</v>
      </c>
    </row>
    <row r="57" spans="2:17" x14ac:dyDescent="0.25">
      <c r="B57" s="62" t="s">
        <v>57</v>
      </c>
      <c r="C57" s="152">
        <v>350</v>
      </c>
      <c r="D57" s="157">
        <f t="shared" si="36"/>
        <v>490.52980768071387</v>
      </c>
      <c r="E57" s="59">
        <f t="shared" si="37"/>
        <v>159.73100862120938</v>
      </c>
      <c r="F57" s="60">
        <f t="shared" si="38"/>
        <v>0.32562956648126545</v>
      </c>
      <c r="G57" s="59">
        <f t="shared" si="34"/>
        <v>124.65739555073252</v>
      </c>
      <c r="H57" s="60">
        <f t="shared" si="39"/>
        <v>0.25412807458149839</v>
      </c>
      <c r="I57" s="59">
        <f t="shared" si="35"/>
        <v>30.519298245614031</v>
      </c>
      <c r="J57" s="60">
        <f t="shared" si="40"/>
        <v>6.2217010603113153E-2</v>
      </c>
      <c r="K57" s="59">
        <f>(((8*(293.06/10)*1.5))+(2*(812.8/10)*1.5))/3.8</f>
        <v>156.71368421052634</v>
      </c>
      <c r="L57" s="60">
        <f t="shared" si="41"/>
        <v>0.31947841243631697</v>
      </c>
      <c r="M57" s="59">
        <f t="shared" si="45"/>
        <v>9.6978947368421071</v>
      </c>
      <c r="N57" s="60">
        <f t="shared" si="42"/>
        <v>1.9770245528390951E-2</v>
      </c>
      <c r="O57" s="59">
        <f t="shared" si="46"/>
        <v>9.2105263157894743</v>
      </c>
      <c r="P57" s="60">
        <f t="shared" si="43"/>
        <v>1.8776690369415046E-2</v>
      </c>
      <c r="Q57" s="155">
        <f t="shared" si="44"/>
        <v>0.99999999999999989</v>
      </c>
    </row>
    <row r="58" spans="2:17" x14ac:dyDescent="0.25">
      <c r="B58" s="62" t="s">
        <v>58</v>
      </c>
      <c r="C58" s="152">
        <v>400</v>
      </c>
      <c r="D58" s="157">
        <f t="shared" si="36"/>
        <v>532.85512479652743</v>
      </c>
      <c r="E58" s="59">
        <f t="shared" si="37"/>
        <v>171.0307614396817</v>
      </c>
      <c r="F58" s="60">
        <f t="shared" si="38"/>
        <v>0.32097047298736292</v>
      </c>
      <c r="G58" s="59">
        <f t="shared" si="34"/>
        <v>144.11480195333695</v>
      </c>
      <c r="H58" s="60">
        <f t="shared" si="39"/>
        <v>0.2704577571781217</v>
      </c>
      <c r="I58" s="59">
        <f t="shared" si="35"/>
        <v>30.519298245614031</v>
      </c>
      <c r="J58" s="60">
        <f t="shared" si="40"/>
        <v>5.727503935946554E-2</v>
      </c>
      <c r="K58" s="59">
        <f>(((9*(293.06/10)*1.5))+(2*(812.8/10)*1.5))/3.8</f>
        <v>168.28184210526317</v>
      </c>
      <c r="L58" s="60">
        <f t="shared" si="41"/>
        <v>0.3158116235994205</v>
      </c>
      <c r="M58" s="59">
        <f t="shared" si="45"/>
        <v>9.6978947368421071</v>
      </c>
      <c r="N58" s="60">
        <f t="shared" si="42"/>
        <v>1.8199871382573795E-2</v>
      </c>
      <c r="O58" s="59">
        <f t="shared" si="46"/>
        <v>9.2105263157894743</v>
      </c>
      <c r="P58" s="60">
        <f t="shared" si="43"/>
        <v>1.7285235493055537E-2</v>
      </c>
      <c r="Q58" s="155">
        <f t="shared" si="44"/>
        <v>1</v>
      </c>
    </row>
    <row r="59" spans="2:17" x14ac:dyDescent="0.25">
      <c r="B59" s="62" t="s">
        <v>59</v>
      </c>
      <c r="C59" s="152">
        <v>450</v>
      </c>
      <c r="D59" s="157">
        <f t="shared" si="36"/>
        <v>594.22615904021234</v>
      </c>
      <c r="E59" s="59">
        <f t="shared" si="37"/>
        <v>182.33051425815398</v>
      </c>
      <c r="F59" s="60">
        <f t="shared" si="38"/>
        <v>0.30683690289342402</v>
      </c>
      <c r="G59" s="59">
        <f t="shared" si="34"/>
        <v>175.14950443118107</v>
      </c>
      <c r="H59" s="60">
        <f t="shared" si="39"/>
        <v>0.29475226185612674</v>
      </c>
      <c r="I59" s="59">
        <f t="shared" si="35"/>
        <v>37.987719298245615</v>
      </c>
      <c r="J59" s="60">
        <f t="shared" si="40"/>
        <v>6.3928049481367447E-2</v>
      </c>
      <c r="K59" s="59">
        <f>(((10*(293.06/10)*1.5))+(2*(812.8/10)*1.5))/3.8</f>
        <v>179.85000000000002</v>
      </c>
      <c r="L59" s="60">
        <f t="shared" si="41"/>
        <v>0.30266254230626904</v>
      </c>
      <c r="M59" s="59">
        <f t="shared" si="45"/>
        <v>9.6978947368421071</v>
      </c>
      <c r="N59" s="60">
        <f t="shared" si="42"/>
        <v>1.6320208374040687E-2</v>
      </c>
      <c r="O59" s="59">
        <f t="shared" si="46"/>
        <v>9.2105263157894743</v>
      </c>
      <c r="P59" s="60">
        <f t="shared" si="43"/>
        <v>1.5500035088771954E-2</v>
      </c>
      <c r="Q59" s="155">
        <f t="shared" si="44"/>
        <v>0.99999999999999989</v>
      </c>
    </row>
  </sheetData>
  <mergeCells count="61">
    <mergeCell ref="X6:X19"/>
    <mergeCell ref="X20:X33"/>
    <mergeCell ref="D49:D51"/>
    <mergeCell ref="D34:D36"/>
    <mergeCell ref="Q35:Q36"/>
    <mergeCell ref="P35:P36"/>
    <mergeCell ref="O35:O36"/>
    <mergeCell ref="N35:N36"/>
    <mergeCell ref="L35:L36"/>
    <mergeCell ref="K35:K36"/>
    <mergeCell ref="J35:J36"/>
    <mergeCell ref="I35:I36"/>
    <mergeCell ref="K5:K6"/>
    <mergeCell ref="J5:J6"/>
    <mergeCell ref="I5:I6"/>
    <mergeCell ref="D19:D21"/>
    <mergeCell ref="C19:C21"/>
    <mergeCell ref="C49:C51"/>
    <mergeCell ref="C34:C36"/>
    <mergeCell ref="D4:D6"/>
    <mergeCell ref="E4:P4"/>
    <mergeCell ref="E49:P49"/>
    <mergeCell ref="M50:M51"/>
    <mergeCell ref="L50:L51"/>
    <mergeCell ref="K50:K51"/>
    <mergeCell ref="J50:J51"/>
    <mergeCell ref="I50:I51"/>
    <mergeCell ref="M34:M36"/>
    <mergeCell ref="E50:H50"/>
    <mergeCell ref="E19:P19"/>
    <mergeCell ref="P20:P21"/>
    <mergeCell ref="O20:O21"/>
    <mergeCell ref="B4:B6"/>
    <mergeCell ref="P5:P6"/>
    <mergeCell ref="O5:O6"/>
    <mergeCell ref="N5:N6"/>
    <mergeCell ref="M5:M6"/>
    <mergeCell ref="L5:L6"/>
    <mergeCell ref="C4:C6"/>
    <mergeCell ref="E5:H5"/>
    <mergeCell ref="W34:W36"/>
    <mergeCell ref="X34:X36"/>
    <mergeCell ref="A37:A41"/>
    <mergeCell ref="I20:I21"/>
    <mergeCell ref="P50:P51"/>
    <mergeCell ref="O50:O51"/>
    <mergeCell ref="N50:N51"/>
    <mergeCell ref="B49:B51"/>
    <mergeCell ref="B34:B36"/>
    <mergeCell ref="B19:B21"/>
    <mergeCell ref="E20:H20"/>
    <mergeCell ref="N20:N21"/>
    <mergeCell ref="M20:M21"/>
    <mergeCell ref="L20:L21"/>
    <mergeCell ref="J20:J21"/>
    <mergeCell ref="K20:K21"/>
    <mergeCell ref="A42:A44"/>
    <mergeCell ref="S34:S36"/>
    <mergeCell ref="T34:T36"/>
    <mergeCell ref="E35:H35"/>
    <mergeCell ref="V34:V36"/>
  </mergeCells>
  <phoneticPr fontId="18" type="noConversion"/>
  <pageMargins left="0.51181102362204722" right="0.51181102362204722" top="0.31496062992125984" bottom="0.59055118110236215" header="0.31496062992125984" footer="0.31496062992125984"/>
  <pageSetup paperSize="122" scale="51" orientation="landscape" r:id="rId1"/>
  <ignoredErrors>
    <ignoredError sqref="N8:N14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DB4C-2B72-4311-8A03-190D18C123F9}">
  <sheetPr>
    <pageSetUpPr fitToPage="1"/>
  </sheetPr>
  <dimension ref="B2:M33"/>
  <sheetViews>
    <sheetView tabSelected="1" topLeftCell="A7" zoomScaleNormal="100" workbookViewId="0">
      <selection activeCell="W14" sqref="W14"/>
    </sheetView>
  </sheetViews>
  <sheetFormatPr defaultRowHeight="15" x14ac:dyDescent="0.25"/>
  <cols>
    <col min="2" max="3" width="17.7109375" customWidth="1"/>
    <col min="4" max="4" width="18.140625" hidden="1" customWidth="1"/>
    <col min="5" max="5" width="19.42578125" hidden="1" customWidth="1"/>
    <col min="6" max="6" width="19.42578125" customWidth="1"/>
    <col min="7" max="7" width="29.5703125" hidden="1" customWidth="1"/>
    <col min="8" max="8" width="17" hidden="1" customWidth="1"/>
    <col min="9" max="9" width="14.5703125" hidden="1" customWidth="1"/>
    <col min="10" max="10" width="24.28515625" hidden="1" customWidth="1"/>
    <col min="11" max="11" width="0" hidden="1" customWidth="1"/>
    <col min="12" max="12" width="17.85546875" customWidth="1"/>
    <col min="13" max="13" width="16.7109375" customWidth="1"/>
    <col min="14" max="14" width="18.42578125" customWidth="1"/>
  </cols>
  <sheetData>
    <row r="2" spans="2:13" ht="18.75" x14ac:dyDescent="0.3">
      <c r="B2" s="164" t="s">
        <v>180</v>
      </c>
      <c r="C2" s="164"/>
    </row>
    <row r="3" spans="2:13" ht="165" customHeight="1" x14ac:dyDescent="0.25">
      <c r="B3" s="62"/>
      <c r="C3" s="158"/>
    </row>
    <row r="4" spans="2:13" ht="30" x14ac:dyDescent="0.25">
      <c r="B4" s="167" t="s">
        <v>184</v>
      </c>
      <c r="C4" s="168"/>
    </row>
    <row r="5" spans="2:13" ht="30" x14ac:dyDescent="0.25">
      <c r="B5" s="58" t="s">
        <v>183</v>
      </c>
      <c r="C5" s="169"/>
    </row>
    <row r="7" spans="2:13" ht="21" x14ac:dyDescent="0.35">
      <c r="B7" s="61" t="s">
        <v>162</v>
      </c>
      <c r="C7" s="61"/>
    </row>
    <row r="8" spans="2:13" ht="21" x14ac:dyDescent="0.35">
      <c r="B8" s="154" t="s">
        <v>175</v>
      </c>
      <c r="C8" s="154"/>
    </row>
    <row r="9" spans="2:13" ht="15" customHeight="1" x14ac:dyDescent="0.25">
      <c r="B9" s="223" t="s">
        <v>51</v>
      </c>
      <c r="C9" s="222" t="s">
        <v>201</v>
      </c>
      <c r="D9" s="225" t="s">
        <v>164</v>
      </c>
      <c r="E9" s="229" t="s">
        <v>209</v>
      </c>
      <c r="F9" s="220" t="s">
        <v>164</v>
      </c>
      <c r="G9" s="228" t="s">
        <v>214</v>
      </c>
      <c r="H9" s="218" t="s">
        <v>205</v>
      </c>
      <c r="I9" s="227" t="s">
        <v>208</v>
      </c>
      <c r="J9" s="218" t="s">
        <v>213</v>
      </c>
      <c r="L9" s="307" t="s">
        <v>223</v>
      </c>
      <c r="M9" s="307" t="s">
        <v>221</v>
      </c>
    </row>
    <row r="10" spans="2:13" ht="45" customHeight="1" x14ac:dyDescent="0.25">
      <c r="B10" s="224"/>
      <c r="C10" s="222"/>
      <c r="D10" s="226"/>
      <c r="E10" s="229"/>
      <c r="F10" s="221"/>
      <c r="G10" s="228"/>
      <c r="H10" s="219"/>
      <c r="I10" s="227"/>
      <c r="J10" s="219"/>
      <c r="L10" s="308"/>
      <c r="M10" s="308"/>
    </row>
    <row r="11" spans="2:13" ht="9.75" customHeight="1" x14ac:dyDescent="0.25">
      <c r="B11" s="183" t="s">
        <v>200</v>
      </c>
      <c r="C11" s="183"/>
      <c r="D11" s="181"/>
      <c r="E11" s="181"/>
      <c r="F11" s="181"/>
      <c r="G11" s="181"/>
      <c r="H11" s="181"/>
      <c r="I11" s="181"/>
      <c r="J11" s="181"/>
      <c r="K11" s="181"/>
      <c r="L11" s="181"/>
      <c r="M11" s="181"/>
    </row>
    <row r="12" spans="2:13" x14ac:dyDescent="0.25">
      <c r="B12" s="165" t="s">
        <v>52</v>
      </c>
      <c r="C12" s="187">
        <v>180</v>
      </c>
      <c r="D12" s="179">
        <f>((H12*G12)+I12+J12)/3.9</f>
        <v>187.90946804934572</v>
      </c>
      <c r="E12" s="203">
        <f>(D12*3.9)/H12</f>
        <v>45.666157986008585</v>
      </c>
      <c r="F12" s="202">
        <v>190</v>
      </c>
      <c r="G12" s="174">
        <f>SUMMARY!T37</f>
        <v>37.284111762786132</v>
      </c>
      <c r="H12" s="201">
        <f>SUMMARY!U37</f>
        <v>16.047921649484536</v>
      </c>
      <c r="I12" s="200">
        <f>SUMMARY!W37</f>
        <v>73.742842105263165</v>
      </c>
      <c r="J12" s="200">
        <f>SUMMARY!V37</f>
        <v>60.771578947368425</v>
      </c>
      <c r="K12" s="204"/>
      <c r="L12" s="59">
        <f>F12-C12</f>
        <v>10</v>
      </c>
      <c r="M12" s="59">
        <f>F12*(1-15%)</f>
        <v>161.5</v>
      </c>
    </row>
    <row r="13" spans="2:13" x14ac:dyDescent="0.25">
      <c r="B13" s="62" t="s">
        <v>53</v>
      </c>
      <c r="C13" s="188">
        <v>190</v>
      </c>
      <c r="D13" s="179">
        <f>((H13*G13)+I13+J13)/3.9</f>
        <v>207.11091153604801</v>
      </c>
      <c r="E13" s="203">
        <f>(D13*3.9)/H13</f>
        <v>45.366714390419432</v>
      </c>
      <c r="F13" s="202">
        <v>210</v>
      </c>
      <c r="G13" s="174">
        <f>SUMMARY!T38</f>
        <v>37.811642747481287</v>
      </c>
      <c r="H13" s="201">
        <f>SUMMARY!U38</f>
        <v>17.804519587628867</v>
      </c>
      <c r="I13" s="200">
        <f>SUMMARY!W38</f>
        <v>73.742842105263165</v>
      </c>
      <c r="J13" s="200">
        <f>SUMMARY!V38</f>
        <v>60.771578947368425</v>
      </c>
      <c r="K13" s="204"/>
      <c r="L13" s="59">
        <f t="shared" ref="L13:L16" si="0">F13-C13</f>
        <v>20</v>
      </c>
      <c r="M13" s="59">
        <f t="shared" ref="M13:M16" si="1">F13*(1-15%)</f>
        <v>178.5</v>
      </c>
    </row>
    <row r="14" spans="2:13" x14ac:dyDescent="0.25">
      <c r="B14" s="62" t="s">
        <v>54</v>
      </c>
      <c r="C14" s="188">
        <v>200</v>
      </c>
      <c r="D14" s="179">
        <f>((H14*G14)+I14+J14)/3.9</f>
        <v>226.31235502275024</v>
      </c>
      <c r="E14" s="203">
        <f>(D14*3.9)/H14</f>
        <v>45.121051158033907</v>
      </c>
      <c r="F14" s="202">
        <v>230</v>
      </c>
      <c r="G14" s="174">
        <f>SUMMARY!T39</f>
        <v>38.24442865037814</v>
      </c>
      <c r="H14" s="201">
        <f>SUMMARY!U39</f>
        <v>19.561117525773195</v>
      </c>
      <c r="I14" s="200">
        <f>SUMMARY!W39</f>
        <v>73.742842105263165</v>
      </c>
      <c r="J14" s="200">
        <f>SUMMARY!V39</f>
        <v>60.771578947368425</v>
      </c>
      <c r="K14" s="204"/>
      <c r="L14" s="59">
        <f t="shared" si="0"/>
        <v>30</v>
      </c>
      <c r="M14" s="59">
        <f t="shared" si="1"/>
        <v>195.5</v>
      </c>
    </row>
    <row r="15" spans="2:13" x14ac:dyDescent="0.25">
      <c r="B15" s="62" t="s">
        <v>55</v>
      </c>
      <c r="C15" s="188">
        <v>220</v>
      </c>
      <c r="D15" s="179">
        <f>((H15*G15)+I15+J15)/3.9</f>
        <v>245.5137985094525</v>
      </c>
      <c r="E15" s="203">
        <f>(D15*3.9)/H15</f>
        <v>44.915873645444819</v>
      </c>
      <c r="F15" s="202">
        <v>250</v>
      </c>
      <c r="G15" s="174">
        <f>SUMMARY!T40</f>
        <v>38.605890698148642</v>
      </c>
      <c r="H15" s="201">
        <f>SUMMARY!U40</f>
        <v>21.317715463917526</v>
      </c>
      <c r="I15" s="200">
        <f>SUMMARY!W40</f>
        <v>73.742842105263165</v>
      </c>
      <c r="J15" s="200">
        <f>SUMMARY!V40</f>
        <v>60.771578947368425</v>
      </c>
      <c r="K15" s="204"/>
      <c r="L15" s="59">
        <f t="shared" si="0"/>
        <v>30</v>
      </c>
      <c r="M15" s="59">
        <f t="shared" si="1"/>
        <v>212.5</v>
      </c>
    </row>
    <row r="16" spans="2:13" x14ac:dyDescent="0.25">
      <c r="B16" s="165" t="s">
        <v>56</v>
      </c>
      <c r="C16" s="187">
        <v>300</v>
      </c>
      <c r="D16" s="179">
        <f>((H16*G16)+I16+J16)/3.9</f>
        <v>264.71524199615482</v>
      </c>
      <c r="E16" s="203">
        <f>(D16*3.9)/H16</f>
        <v>44.741935579879595</v>
      </c>
      <c r="F16" s="202">
        <v>270</v>
      </c>
      <c r="G16" s="174">
        <f>SUMMARY!T41</f>
        <v>38.912318086662573</v>
      </c>
      <c r="H16" s="201">
        <f>SUMMARY!U41</f>
        <v>23.074313402061854</v>
      </c>
      <c r="I16" s="200">
        <f>SUMMARY!W41</f>
        <v>73.742842105263165</v>
      </c>
      <c r="J16" s="200">
        <f>SUMMARY!V41</f>
        <v>60.771578947368425</v>
      </c>
      <c r="K16" s="204"/>
      <c r="L16" s="309" t="s">
        <v>222</v>
      </c>
      <c r="M16" s="59">
        <f t="shared" si="1"/>
        <v>229.5</v>
      </c>
    </row>
    <row r="17" spans="2:12" ht="9.75" hidden="1" customHeight="1" x14ac:dyDescent="0.25">
      <c r="B17" s="183" t="s">
        <v>198</v>
      </c>
      <c r="C17" s="183"/>
      <c r="D17" s="181"/>
      <c r="E17" s="181"/>
      <c r="F17" s="181"/>
      <c r="G17" s="181"/>
      <c r="H17" s="181"/>
      <c r="I17" s="181"/>
      <c r="J17" s="181"/>
    </row>
    <row r="18" spans="2:12" hidden="1" x14ac:dyDescent="0.25">
      <c r="B18" s="216" t="s">
        <v>57</v>
      </c>
      <c r="C18" s="187">
        <f>'SUMMARY WITH CAGE'!C13</f>
        <v>350</v>
      </c>
      <c r="D18" s="179">
        <f>'SUMMARY WITH CAGE'!F13</f>
        <v>420.25321736361349</v>
      </c>
      <c r="E18" s="203" t="e">
        <f t="shared" ref="E18:E19" si="2">(D18*3.9)/H18</f>
        <v>#DIV/0!</v>
      </c>
      <c r="F18" s="202">
        <f>'SUMMARY WITH CAGE'!G13</f>
        <v>425</v>
      </c>
      <c r="G18" s="217">
        <f>F18-C18</f>
        <v>75</v>
      </c>
      <c r="H18" s="214"/>
      <c r="I18" s="215"/>
      <c r="J18" s="215"/>
      <c r="K18" s="204"/>
      <c r="L18" s="204"/>
    </row>
    <row r="19" spans="2:12" hidden="1" x14ac:dyDescent="0.25">
      <c r="B19" s="216" t="s">
        <v>58</v>
      </c>
      <c r="C19" s="187">
        <f>'SUMMARY WITH CAGE'!C14</f>
        <v>400</v>
      </c>
      <c r="D19" s="179">
        <f>'SUMMARY WITH CAGE'!F14</f>
        <v>457.83711609184206</v>
      </c>
      <c r="E19" s="203" t="e">
        <f t="shared" si="2"/>
        <v>#DIV/0!</v>
      </c>
      <c r="F19" s="202">
        <f>'SUMMARY WITH CAGE'!G14</f>
        <v>460</v>
      </c>
      <c r="G19" s="217">
        <f t="shared" ref="G19:G20" si="3">F19-C19</f>
        <v>60</v>
      </c>
      <c r="H19" s="214"/>
      <c r="I19" s="215"/>
      <c r="J19" s="215"/>
      <c r="K19" s="204"/>
      <c r="L19" s="204"/>
    </row>
    <row r="20" spans="2:12" hidden="1" x14ac:dyDescent="0.25">
      <c r="B20" s="143" t="s">
        <v>59</v>
      </c>
      <c r="C20" s="187">
        <f>'SUMMARY WITH CAGE'!C15</f>
        <v>450</v>
      </c>
      <c r="D20" s="179">
        <f>'SUMMARY WITH CAGE'!F15</f>
        <v>515.5744908199656</v>
      </c>
      <c r="E20" s="203" t="e">
        <f>(D20*3.9)/H20</f>
        <v>#DIV/0!</v>
      </c>
      <c r="F20" s="202">
        <f>'SUMMARY WITH CAGE'!G15</f>
        <v>520</v>
      </c>
      <c r="G20" s="217">
        <f t="shared" si="3"/>
        <v>70</v>
      </c>
      <c r="H20" s="214"/>
      <c r="I20" s="215"/>
      <c r="J20" s="215"/>
      <c r="K20" s="204"/>
      <c r="L20" s="204"/>
    </row>
    <row r="21" spans="2:12" x14ac:dyDescent="0.25">
      <c r="K21" s="204"/>
      <c r="L21" s="204"/>
    </row>
    <row r="22" spans="2:12" hidden="1" x14ac:dyDescent="0.25">
      <c r="D22" s="170"/>
      <c r="E22" s="170">
        <f t="shared" ref="E22" si="4">E13-E12</f>
        <v>-0.29944359558915323</v>
      </c>
      <c r="F22" s="170">
        <f>F13-F12</f>
        <v>20</v>
      </c>
    </row>
    <row r="23" spans="2:12" hidden="1" x14ac:dyDescent="0.25">
      <c r="D23" s="170"/>
      <c r="E23" s="170">
        <f>E14-E13</f>
        <v>-0.24566323238552457</v>
      </c>
      <c r="F23" s="170">
        <f t="shared" ref="F23:F25" si="5">F14-F13</f>
        <v>20</v>
      </c>
      <c r="G23" s="170"/>
    </row>
    <row r="24" spans="2:12" hidden="1" x14ac:dyDescent="0.25">
      <c r="D24" s="170"/>
      <c r="E24" s="170">
        <f>E15-E14</f>
        <v>-0.20517751258908845</v>
      </c>
      <c r="F24" s="170">
        <f t="shared" si="5"/>
        <v>20</v>
      </c>
      <c r="G24" s="170"/>
    </row>
    <row r="25" spans="2:12" hidden="1" x14ac:dyDescent="0.25">
      <c r="D25" s="170"/>
      <c r="E25" s="170">
        <f>E16-E15</f>
        <v>-0.17393806556522406</v>
      </c>
      <c r="F25" s="170">
        <f t="shared" si="5"/>
        <v>20</v>
      </c>
      <c r="G25" s="170"/>
    </row>
    <row r="26" spans="2:12" hidden="1" x14ac:dyDescent="0.25">
      <c r="D26" s="170"/>
      <c r="E26" s="170"/>
      <c r="F26" s="170">
        <f>F18-F16</f>
        <v>155</v>
      </c>
      <c r="G26" s="170"/>
    </row>
    <row r="27" spans="2:12" hidden="1" x14ac:dyDescent="0.25">
      <c r="D27" s="170"/>
      <c r="E27" s="170"/>
      <c r="F27" s="170">
        <f>F19-F18</f>
        <v>35</v>
      </c>
      <c r="G27" s="170"/>
    </row>
    <row r="28" spans="2:12" hidden="1" x14ac:dyDescent="0.25">
      <c r="D28" s="170"/>
      <c r="E28" s="170"/>
      <c r="F28" s="170">
        <f>F20-F19</f>
        <v>60</v>
      </c>
      <c r="G28" s="170"/>
    </row>
    <row r="29" spans="2:12" x14ac:dyDescent="0.25">
      <c r="F29" s="170">
        <f>F13-F12</f>
        <v>20</v>
      </c>
      <c r="G29" s="170">
        <f>F12-C12</f>
        <v>10</v>
      </c>
    </row>
    <row r="30" spans="2:12" x14ac:dyDescent="0.25">
      <c r="F30" s="170">
        <f t="shared" ref="F30:F32" si="6">F14-F13</f>
        <v>20</v>
      </c>
      <c r="G30" s="170">
        <f t="shared" ref="G30:G31" si="7">F13-C13</f>
        <v>20</v>
      </c>
    </row>
    <row r="31" spans="2:12" x14ac:dyDescent="0.25">
      <c r="F31" s="170">
        <f t="shared" si="6"/>
        <v>20</v>
      </c>
      <c r="G31" s="170">
        <f t="shared" si="7"/>
        <v>30</v>
      </c>
    </row>
    <row r="32" spans="2:12" x14ac:dyDescent="0.25">
      <c r="F32" s="170">
        <f t="shared" si="6"/>
        <v>20</v>
      </c>
      <c r="G32" s="170"/>
    </row>
    <row r="33" spans="6:7" x14ac:dyDescent="0.25">
      <c r="F33" s="170"/>
      <c r="G33" s="170"/>
    </row>
  </sheetData>
  <mergeCells count="11">
    <mergeCell ref="M9:M10"/>
    <mergeCell ref="L9:L10"/>
    <mergeCell ref="J9:J10"/>
    <mergeCell ref="F9:F10"/>
    <mergeCell ref="C9:C10"/>
    <mergeCell ref="B9:B10"/>
    <mergeCell ref="D9:D10"/>
    <mergeCell ref="H9:H10"/>
    <mergeCell ref="I9:I10"/>
    <mergeCell ref="G9:G10"/>
    <mergeCell ref="E9:E10"/>
  </mergeCells>
  <phoneticPr fontId="30" type="noConversion"/>
  <pageMargins left="0.25" right="0.25" top="0.75" bottom="0.75" header="0.3" footer="0.3"/>
  <pageSetup paperSize="9" scale="8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6F03-C09A-4AFD-A846-5536757EA4D1}">
  <sheetPr>
    <pageSetUpPr fitToPage="1"/>
  </sheetPr>
  <dimension ref="B2:AI23"/>
  <sheetViews>
    <sheetView topLeftCell="A5" zoomScale="90" zoomScaleNormal="90" workbookViewId="0">
      <selection activeCell="J27" sqref="J27"/>
    </sheetView>
  </sheetViews>
  <sheetFormatPr defaultRowHeight="15" x14ac:dyDescent="0.25"/>
  <cols>
    <col min="2" max="3" width="17.7109375" customWidth="1"/>
    <col min="4" max="4" width="13.42578125" customWidth="1"/>
    <col min="5" max="5" width="14.140625" customWidth="1"/>
    <col min="6" max="8" width="17" customWidth="1"/>
    <col min="9" max="9" width="19.140625" customWidth="1"/>
    <col min="10" max="11" width="17" customWidth="1"/>
    <col min="12" max="12" width="20.28515625" customWidth="1"/>
    <col min="13" max="15" width="17" customWidth="1"/>
    <col min="16" max="16" width="15.5703125" customWidth="1"/>
    <col min="17" max="17" width="17" hidden="1" customWidth="1"/>
    <col min="18" max="18" width="5.140625" hidden="1" customWidth="1"/>
    <col min="19" max="19" width="17" hidden="1" customWidth="1"/>
    <col min="20" max="20" width="5.140625" hidden="1" customWidth="1"/>
    <col min="21" max="21" width="17" hidden="1" customWidth="1"/>
    <col min="22" max="22" width="5.140625" hidden="1" customWidth="1"/>
    <col min="23" max="23" width="17" hidden="1" customWidth="1"/>
    <col min="24" max="24" width="5.140625" hidden="1" customWidth="1"/>
    <col min="25" max="25" width="17" hidden="1" customWidth="1"/>
    <col min="26" max="26" width="5.140625" hidden="1" customWidth="1"/>
    <col min="27" max="27" width="17" hidden="1" customWidth="1"/>
    <col min="28" max="28" width="5.140625" hidden="1" customWidth="1"/>
    <col min="29" max="29" width="17" hidden="1" customWidth="1"/>
    <col min="30" max="30" width="5.140625" hidden="1" customWidth="1"/>
    <col min="31" max="31" width="17" hidden="1" customWidth="1"/>
    <col min="32" max="32" width="5.140625" hidden="1" customWidth="1"/>
    <col min="33" max="33" width="17" hidden="1" customWidth="1"/>
    <col min="34" max="34" width="5.140625" hidden="1" customWidth="1"/>
    <col min="35" max="35" width="8.42578125" hidden="1" customWidth="1"/>
  </cols>
  <sheetData>
    <row r="2" spans="2:35" ht="18.75" x14ac:dyDescent="0.3">
      <c r="B2" s="164" t="s">
        <v>180</v>
      </c>
      <c r="C2" s="164"/>
    </row>
    <row r="3" spans="2:35" ht="165" customHeight="1" x14ac:dyDescent="0.25">
      <c r="B3" s="62"/>
      <c r="C3" s="62"/>
      <c r="D3" s="62"/>
      <c r="E3" s="158"/>
      <c r="T3" s="158"/>
    </row>
    <row r="4" spans="2:35" ht="60" x14ac:dyDescent="0.25">
      <c r="B4" s="176" t="s">
        <v>202</v>
      </c>
      <c r="C4" s="176" t="s">
        <v>195</v>
      </c>
      <c r="D4" s="176" t="s">
        <v>188</v>
      </c>
      <c r="E4" s="168"/>
      <c r="T4" s="168"/>
    </row>
    <row r="5" spans="2:35" x14ac:dyDescent="0.25">
      <c r="B5" s="58" t="s">
        <v>57</v>
      </c>
      <c r="C5" s="58" t="s">
        <v>58</v>
      </c>
      <c r="D5" s="58" t="s">
        <v>59</v>
      </c>
      <c r="E5" s="169"/>
      <c r="T5" s="169"/>
    </row>
    <row r="7" spans="2:35" ht="21" x14ac:dyDescent="0.35">
      <c r="B7" s="61" t="s">
        <v>162</v>
      </c>
      <c r="C7" s="61"/>
      <c r="AH7" s="155"/>
    </row>
    <row r="8" spans="2:35" ht="21" x14ac:dyDescent="0.35">
      <c r="B8" s="154" t="s">
        <v>175</v>
      </c>
      <c r="C8" s="154"/>
      <c r="AH8" s="155"/>
    </row>
    <row r="9" spans="2:35" ht="15" customHeight="1" x14ac:dyDescent="0.25">
      <c r="B9" s="223" t="s">
        <v>51</v>
      </c>
      <c r="C9" s="222" t="s">
        <v>201</v>
      </c>
      <c r="D9" s="295" t="s">
        <v>210</v>
      </c>
      <c r="E9" s="296"/>
      <c r="F9" s="225" t="s">
        <v>164</v>
      </c>
      <c r="G9" s="220" t="s">
        <v>220</v>
      </c>
      <c r="H9" s="228" t="s">
        <v>214</v>
      </c>
      <c r="I9" s="228"/>
      <c r="J9" s="228"/>
      <c r="K9" s="227" t="s">
        <v>204</v>
      </c>
      <c r="L9" s="227"/>
      <c r="M9" s="227"/>
      <c r="N9" s="227" t="s">
        <v>208</v>
      </c>
      <c r="O9" s="302" t="s">
        <v>218</v>
      </c>
      <c r="P9" s="303"/>
      <c r="Q9" s="299" t="s">
        <v>167</v>
      </c>
      <c r="R9" s="300"/>
      <c r="S9" s="300"/>
      <c r="T9" s="300"/>
      <c r="U9" s="300"/>
      <c r="V9" s="300"/>
      <c r="W9" s="300"/>
      <c r="X9" s="300"/>
      <c r="Y9" s="300"/>
      <c r="Z9" s="300"/>
      <c r="AA9" s="300"/>
      <c r="AB9" s="300"/>
      <c r="AC9" s="300"/>
      <c r="AD9" s="300"/>
      <c r="AE9" s="300"/>
      <c r="AF9" s="300"/>
      <c r="AG9" s="300"/>
      <c r="AH9" s="300"/>
      <c r="AI9" s="301"/>
    </row>
    <row r="10" spans="2:35" ht="45" customHeight="1" x14ac:dyDescent="0.25">
      <c r="B10" s="224"/>
      <c r="C10" s="222"/>
      <c r="D10" s="297"/>
      <c r="E10" s="298"/>
      <c r="F10" s="226"/>
      <c r="G10" s="306"/>
      <c r="H10" s="228"/>
      <c r="I10" s="228"/>
      <c r="J10" s="228"/>
      <c r="K10" s="227"/>
      <c r="L10" s="227"/>
      <c r="M10" s="227"/>
      <c r="N10" s="227"/>
      <c r="O10" s="304"/>
      <c r="P10" s="305"/>
      <c r="Q10" s="249" t="s">
        <v>169</v>
      </c>
      <c r="R10" s="270"/>
      <c r="S10" s="270"/>
      <c r="T10" s="270"/>
      <c r="U10" s="270"/>
      <c r="V10" s="250"/>
      <c r="W10" s="249" t="s">
        <v>189</v>
      </c>
      <c r="X10" s="270"/>
      <c r="Y10" s="270"/>
      <c r="Z10" s="250"/>
      <c r="AA10" s="249" t="s">
        <v>174</v>
      </c>
      <c r="AB10" s="270"/>
      <c r="AC10" s="270"/>
      <c r="AD10" s="250"/>
      <c r="AE10" s="223" t="s">
        <v>170</v>
      </c>
      <c r="AF10" s="223" t="s">
        <v>168</v>
      </c>
      <c r="AG10" s="223" t="s">
        <v>114</v>
      </c>
      <c r="AH10" s="223" t="s">
        <v>168</v>
      </c>
      <c r="AI10" s="294"/>
    </row>
    <row r="11" spans="2:35" ht="60" x14ac:dyDescent="0.25">
      <c r="B11" s="262"/>
      <c r="C11" s="186" t="s">
        <v>199</v>
      </c>
      <c r="D11" s="185" t="s">
        <v>177</v>
      </c>
      <c r="E11" s="185" t="s">
        <v>178</v>
      </c>
      <c r="F11" s="290"/>
      <c r="G11" s="221"/>
      <c r="H11" s="211" t="s">
        <v>215</v>
      </c>
      <c r="I11" s="211" t="s">
        <v>216</v>
      </c>
      <c r="J11" s="211" t="s">
        <v>217</v>
      </c>
      <c r="K11" s="205" t="s">
        <v>177</v>
      </c>
      <c r="L11" s="205" t="s">
        <v>196</v>
      </c>
      <c r="M11" s="205" t="s">
        <v>197</v>
      </c>
      <c r="N11" s="227"/>
      <c r="O11" s="175" t="s">
        <v>219</v>
      </c>
      <c r="P11" s="175" t="s">
        <v>191</v>
      </c>
      <c r="Q11" s="163" t="s">
        <v>177</v>
      </c>
      <c r="R11" s="163" t="s">
        <v>168</v>
      </c>
      <c r="S11" s="163" t="s">
        <v>196</v>
      </c>
      <c r="T11" s="163" t="s">
        <v>168</v>
      </c>
      <c r="U11" s="163" t="s">
        <v>197</v>
      </c>
      <c r="V11" s="163" t="s">
        <v>168</v>
      </c>
      <c r="W11" s="163" t="s">
        <v>190</v>
      </c>
      <c r="X11" s="163" t="s">
        <v>168</v>
      </c>
      <c r="Y11" s="163" t="s">
        <v>191</v>
      </c>
      <c r="Z11" s="163" t="s">
        <v>168</v>
      </c>
      <c r="AA11" s="163" t="s">
        <v>192</v>
      </c>
      <c r="AB11" s="163" t="s">
        <v>168</v>
      </c>
      <c r="AC11" s="163" t="s">
        <v>193</v>
      </c>
      <c r="AD11" s="163" t="s">
        <v>168</v>
      </c>
      <c r="AE11" s="262"/>
      <c r="AF11" s="262"/>
      <c r="AG11" s="262"/>
      <c r="AH11" s="262"/>
      <c r="AI11" s="294"/>
    </row>
    <row r="12" spans="2:35" ht="9.75" customHeight="1" x14ac:dyDescent="0.25">
      <c r="B12" s="183" t="s">
        <v>198</v>
      </c>
      <c r="C12" s="183"/>
      <c r="D12" s="183"/>
      <c r="E12" s="183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0"/>
      <c r="R12" s="182"/>
      <c r="S12" s="180"/>
      <c r="T12" s="182"/>
      <c r="U12" s="180"/>
      <c r="V12" s="182"/>
      <c r="W12" s="180"/>
      <c r="X12" s="182"/>
      <c r="Y12" s="180"/>
      <c r="Z12" s="182"/>
      <c r="AA12" s="180"/>
      <c r="AB12" s="182"/>
      <c r="AC12" s="180"/>
      <c r="AD12" s="182"/>
      <c r="AE12" s="180"/>
      <c r="AF12" s="182"/>
      <c r="AG12" s="180"/>
      <c r="AH12" s="182"/>
      <c r="AI12" s="182"/>
    </row>
    <row r="13" spans="2:35" x14ac:dyDescent="0.25">
      <c r="B13" s="119" t="s">
        <v>57</v>
      </c>
      <c r="C13" s="192">
        <v>350</v>
      </c>
      <c r="D13" s="184">
        <f>((H13*K13)+N13+O13)/3.9</f>
        <v>276.03436107671598</v>
      </c>
      <c r="E13" s="184">
        <f>((I13*L13)+(J13*M13)+P13)/3.9</f>
        <v>144.21885628689751</v>
      </c>
      <c r="F13" s="178">
        <f>D13+E13</f>
        <v>420.25321736361349</v>
      </c>
      <c r="G13" s="213">
        <v>425</v>
      </c>
      <c r="H13" s="174">
        <f>((Q13+AA13)*3.9)/EXTRUSION!Q93</f>
        <v>38.000128945438888</v>
      </c>
      <c r="I13" s="210">
        <f>(S13*3.9)/(EXTRUSION!K94/0.97)</f>
        <v>24.444444444444443</v>
      </c>
      <c r="J13" s="210">
        <f>(U13*3.9)/(EXTRUSION!K95/0.97)</f>
        <v>33.333333333333336</v>
      </c>
      <c r="K13" s="212">
        <f>EXTRUSION!Q93</f>
        <v>24.830911340206185</v>
      </c>
      <c r="L13" s="212">
        <f>EXTRUSION!K94/0.97</f>
        <v>15.779072164948454</v>
      </c>
      <c r="M13" s="212">
        <f>EXTRUSION!K95/0.97</f>
        <v>3.5994865979381445</v>
      </c>
      <c r="N13" s="209">
        <f>'SUMMARY WITHOUT CAGE'!$I$12</f>
        <v>73.742842105263165</v>
      </c>
      <c r="O13" s="209">
        <f>W13*3.9</f>
        <v>59.213333333333331</v>
      </c>
      <c r="P13" s="209">
        <f>Y13*3.9</f>
        <v>56.759999999999991</v>
      </c>
      <c r="Q13" s="193">
        <f>((EXTRUSION!Q93*22)/0.9)/3.9</f>
        <v>155.63534173348609</v>
      </c>
      <c r="R13" s="177">
        <f>Q13/F13</f>
        <v>0.37033706180725451</v>
      </c>
      <c r="S13" s="193">
        <f>(((EXTRUSION!K94/0.97)*22)/0.9)/3.9</f>
        <v>98.90016741563133</v>
      </c>
      <c r="T13" s="177">
        <f>S13/F13</f>
        <v>0.23533470614708099</v>
      </c>
      <c r="U13" s="193">
        <f>(((EXTRUSION!K95/0.97)*30)/0.9)/3.9</f>
        <v>30.764842717420038</v>
      </c>
      <c r="V13" s="177">
        <f>U13/F13</f>
        <v>7.320549003864385E-2</v>
      </c>
      <c r="W13" s="193">
        <f>'TO QUOTE EA (NAR PARTS)'!I152</f>
        <v>15.182905982905982</v>
      </c>
      <c r="X13" s="177">
        <f>W13/F13</f>
        <v>3.6127994636551128E-2</v>
      </c>
      <c r="Y13" s="193">
        <f>'TO QUOTE EA (NAR PARTS)'!L152</f>
        <v>14.553846153846152</v>
      </c>
      <c r="Z13" s="177">
        <f>Y13/F13</f>
        <v>3.4631135592839028E-2</v>
      </c>
      <c r="AA13" s="193">
        <f>SUMMARY!K42</f>
        <v>86.307692307692321</v>
      </c>
      <c r="AB13" s="177">
        <f>AA13/F13</f>
        <v>0.20537068781799894</v>
      </c>
      <c r="AC13" s="193">
        <v>0</v>
      </c>
      <c r="AD13" s="177">
        <f>AC13/Z13</f>
        <v>0</v>
      </c>
      <c r="AE13" s="193">
        <f>SUMMARY!$N$42</f>
        <v>9.6978947368421071</v>
      </c>
      <c r="AF13" s="177">
        <f>AE13/F13</f>
        <v>2.3076312889833864E-2</v>
      </c>
      <c r="AG13" s="193">
        <f>SUMMARY!$O$57</f>
        <v>9.2105263157894743</v>
      </c>
      <c r="AH13" s="177">
        <f>AG13/F13</f>
        <v>2.1916611069797708E-2</v>
      </c>
      <c r="AI13" s="194">
        <f>R13+T13+V13+X13+Z13+AB13+AD13+AF13+AH13</f>
        <v>1.0000000000000002</v>
      </c>
    </row>
    <row r="14" spans="2:35" x14ac:dyDescent="0.25">
      <c r="B14" s="119" t="s">
        <v>58</v>
      </c>
      <c r="C14" s="192">
        <v>400</v>
      </c>
      <c r="D14" s="184">
        <f t="shared" ref="D14:D15" si="0">((H14*K14)+N14+O14)/3.9</f>
        <v>294.65976125881713</v>
      </c>
      <c r="E14" s="184">
        <f t="shared" ref="E14:E15" si="1">((I14*L14)+(J14*M14)+P14)/3.9</f>
        <v>163.17735483302494</v>
      </c>
      <c r="F14" s="178">
        <f>D14+E14</f>
        <v>457.83711609184206</v>
      </c>
      <c r="G14" s="213">
        <v>460</v>
      </c>
      <c r="H14" s="174">
        <f>((Q14+AA14)*3.9)/EXTRUSION!Q112</f>
        <v>38.221590553360635</v>
      </c>
      <c r="I14" s="210">
        <f>(S14*3.9)/(EXTRUSION!K113/0.97)</f>
        <v>24.444444444444443</v>
      </c>
      <c r="J14" s="210">
        <f>(U14*3.9)/(EXTRUSION!K114/0.97)</f>
        <v>33.333333333333336</v>
      </c>
      <c r="K14" s="212">
        <f>EXTRUSION!Q112</f>
        <v>26.587509278350517</v>
      </c>
      <c r="L14" s="212">
        <f>EXTRUSION!K113/0.97</f>
        <v>18.803814432989689</v>
      </c>
      <c r="M14" s="212">
        <f>EXTRUSION!K114/0.97</f>
        <v>3.5994865979381445</v>
      </c>
      <c r="N14" s="209">
        <f>'SUMMARY WITHOUT CAGE'!$I$12</f>
        <v>73.742842105263165</v>
      </c>
      <c r="O14" s="209">
        <f t="shared" ref="O14:O15" si="2">W14*3.9</f>
        <v>59.213333333333331</v>
      </c>
      <c r="P14" s="209">
        <f t="shared" ref="P14:P15" si="3">Y14*3.9</f>
        <v>56.759999999999991</v>
      </c>
      <c r="Q14" s="193">
        <f>((EXTRUSION!Q112*22)/0.9)/3.9</f>
        <v>166.64535730020268</v>
      </c>
      <c r="R14" s="177">
        <f>Q14/F14</f>
        <v>0.3639839397965578</v>
      </c>
      <c r="S14" s="193">
        <f>(((EXTRUSION!K113/0.97)*22)/0.9)/3.9</f>
        <v>117.85866596175873</v>
      </c>
      <c r="T14" s="177">
        <f t="shared" ref="T14" si="4">S14/F14</f>
        <v>0.25742488282255449</v>
      </c>
      <c r="U14" s="193">
        <f>(((EXTRUSION!K114/0.97)*30)/0.9)/3.9</f>
        <v>30.764842717420038</v>
      </c>
      <c r="V14" s="177">
        <f>U14/F14</f>
        <v>6.7196043387728777E-2</v>
      </c>
      <c r="W14" s="193">
        <f>$W$13</f>
        <v>15.182905982905982</v>
      </c>
      <c r="X14" s="177">
        <f t="shared" ref="X14" si="5">W14/F14</f>
        <v>3.3162243621725707E-2</v>
      </c>
      <c r="Y14" s="193">
        <f>Y13</f>
        <v>14.553846153846152</v>
      </c>
      <c r="Z14" s="177">
        <f>Y14/F14</f>
        <v>3.1788261899951889E-2</v>
      </c>
      <c r="AA14" s="193">
        <f>SUMMARY!K43</f>
        <v>93.923076923076934</v>
      </c>
      <c r="AB14" s="177">
        <f>AA14/F14</f>
        <v>0.20514517854038722</v>
      </c>
      <c r="AC14" s="193">
        <v>0</v>
      </c>
      <c r="AD14" s="177">
        <f>AC14/Z14</f>
        <v>0</v>
      </c>
      <c r="AE14" s="193">
        <f>SUMMARY!$N$42</f>
        <v>9.6978947368421071</v>
      </c>
      <c r="AF14" s="177">
        <f>AE14/F14</f>
        <v>2.118197585120362E-2</v>
      </c>
      <c r="AG14" s="193">
        <f>SUMMARY!$O$57</f>
        <v>9.2105263157894743</v>
      </c>
      <c r="AH14" s="177">
        <f>AG14/F14</f>
        <v>2.0117474079890552E-2</v>
      </c>
      <c r="AI14" s="206">
        <f>R14+T14+V14+X14+Z14+AB14+AD14+AF14+AH14</f>
        <v>1</v>
      </c>
    </row>
    <row r="15" spans="2:35" x14ac:dyDescent="0.25">
      <c r="B15" s="88" t="s">
        <v>59</v>
      </c>
      <c r="C15" s="207">
        <v>450</v>
      </c>
      <c r="D15" s="152">
        <f t="shared" si="0"/>
        <v>310.77929300518019</v>
      </c>
      <c r="E15" s="152">
        <f t="shared" si="1"/>
        <v>204.79519781478547</v>
      </c>
      <c r="F15" s="179">
        <f>D15+E15</f>
        <v>515.5744908199656</v>
      </c>
      <c r="G15" s="202">
        <v>520</v>
      </c>
      <c r="H15" s="174">
        <f>((Q15+AA15)*3.9)/EXTRUSION!Q131</f>
        <v>38.070808123871124</v>
      </c>
      <c r="I15" s="174">
        <f>(S15*3.9)/(EXTRUSION!K132/0.97)</f>
        <v>24.444444444444446</v>
      </c>
      <c r="J15" s="174">
        <f>(U15*3.9)/(EXTRUSION!K133/0.97)</f>
        <v>33.333333333333329</v>
      </c>
      <c r="K15" s="201">
        <f>EXTRUSION!Q131</f>
        <v>28.344107216494848</v>
      </c>
      <c r="L15" s="201">
        <f>EXTRUSION!K132/0.97</f>
        <v>21.828556701030934</v>
      </c>
      <c r="M15" s="201">
        <f>EXTRUSION!K133/0.97</f>
        <v>5.399229896907217</v>
      </c>
      <c r="N15" s="200">
        <f>'SUMMARY WITHOUT CAGE'!$I$12</f>
        <v>73.742842105263165</v>
      </c>
      <c r="O15" s="200">
        <f t="shared" si="2"/>
        <v>59.213333333333331</v>
      </c>
      <c r="P15" s="200">
        <f t="shared" si="3"/>
        <v>85.139999999999986</v>
      </c>
      <c r="Q15" s="59">
        <f>((EXTRUSION!Q132*22)/0.9)/3.8</f>
        <v>175.14950443118107</v>
      </c>
      <c r="R15" s="60">
        <f>Q15/F15</f>
        <v>0.33971716512317102</v>
      </c>
      <c r="S15" s="59">
        <f>(((EXTRUSION!K132/0.97)*22)/0.9)/3.9</f>
        <v>136.81716450788619</v>
      </c>
      <c r="T15" s="60">
        <f t="shared" ref="T15" si="6">S15/F15</f>
        <v>0.26536837439395661</v>
      </c>
      <c r="U15" s="59">
        <f>(((EXTRUSION!K133/0.97)*30)/0.9)/3.9</f>
        <v>46.147264076130057</v>
      </c>
      <c r="V15" s="60">
        <f>U15/F15</f>
        <v>8.9506492073992666E-2</v>
      </c>
      <c r="W15" s="59">
        <f>$W$13</f>
        <v>15.182905982905982</v>
      </c>
      <c r="X15" s="60">
        <f t="shared" ref="X15" si="7">W15/F15</f>
        <v>2.9448520540182679E-2</v>
      </c>
      <c r="Y15" s="59">
        <f>'TO QUOTE EA (NAR PARTS)'!L175</f>
        <v>21.830769230769228</v>
      </c>
      <c r="Z15" s="60">
        <f>Y15/F15</f>
        <v>4.2342609301809608E-2</v>
      </c>
      <c r="AA15" s="59">
        <f>SUMMARY!K44</f>
        <v>101.53846153846155</v>
      </c>
      <c r="AB15" s="60">
        <f>AA15/F15</f>
        <v>0.19694236884562613</v>
      </c>
      <c r="AC15" s="59">
        <v>0</v>
      </c>
      <c r="AD15" s="60">
        <f>AC15/Z15</f>
        <v>0</v>
      </c>
      <c r="AE15" s="59">
        <f>SUMMARY!$N$42</f>
        <v>9.6978947368421071</v>
      </c>
      <c r="AF15" s="60">
        <f>AE15/F15</f>
        <v>1.8809880840727111E-2</v>
      </c>
      <c r="AG15" s="59">
        <f>SUMMARY!$O$57</f>
        <v>9.2105263157894743</v>
      </c>
      <c r="AH15" s="60">
        <f>AG15/F15</f>
        <v>1.7864588880534268E-2</v>
      </c>
      <c r="AI15" s="194">
        <f>R15+T15+V15+X15+Z15+AB15+AD15+AF15+AH15</f>
        <v>0.99999999999999989</v>
      </c>
    </row>
    <row r="16" spans="2:35" x14ac:dyDescent="0.25">
      <c r="G16" s="170"/>
    </row>
    <row r="17" spans="4:16" x14ac:dyDescent="0.25">
      <c r="D17" s="170"/>
      <c r="E17" s="170"/>
      <c r="F17" s="170"/>
      <c r="G17" s="170">
        <f>G14-G13</f>
        <v>35</v>
      </c>
      <c r="H17" s="170">
        <f>G13-C13</f>
        <v>75</v>
      </c>
    </row>
    <row r="18" spans="4:16" x14ac:dyDescent="0.25">
      <c r="D18" s="170"/>
      <c r="E18" s="170"/>
      <c r="F18" s="170"/>
      <c r="G18" s="170">
        <f>G15-G14</f>
        <v>60</v>
      </c>
      <c r="H18" s="170">
        <f t="shared" ref="H18:H19" si="8">G14-C14</f>
        <v>60</v>
      </c>
      <c r="I18" s="170"/>
      <c r="J18" s="170"/>
      <c r="K18" s="170"/>
      <c r="L18" s="170"/>
      <c r="M18" s="170"/>
      <c r="N18" s="170"/>
      <c r="O18" s="170"/>
      <c r="P18" s="170"/>
    </row>
    <row r="19" spans="4:16" x14ac:dyDescent="0.25">
      <c r="F19" s="170"/>
      <c r="G19" s="170"/>
      <c r="H19" s="170">
        <f t="shared" si="8"/>
        <v>70</v>
      </c>
      <c r="I19" s="170"/>
      <c r="J19" s="170"/>
      <c r="K19" s="170"/>
      <c r="L19" s="170"/>
      <c r="M19" s="170"/>
      <c r="N19" s="170"/>
      <c r="O19" s="170"/>
      <c r="P19" s="170"/>
    </row>
    <row r="20" spans="4:16" x14ac:dyDescent="0.25"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</row>
    <row r="21" spans="4:16" x14ac:dyDescent="0.25"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</row>
    <row r="22" spans="4:16" x14ac:dyDescent="0.25"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</row>
    <row r="23" spans="4:16" x14ac:dyDescent="0.25"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</row>
  </sheetData>
  <mergeCells count="18">
    <mergeCell ref="Q10:V10"/>
    <mergeCell ref="AH10:AH11"/>
    <mergeCell ref="AI10:AI11"/>
    <mergeCell ref="B9:B11"/>
    <mergeCell ref="C9:C10"/>
    <mergeCell ref="D9:E10"/>
    <mergeCell ref="F9:F11"/>
    <mergeCell ref="Q9:AI9"/>
    <mergeCell ref="O9:P10"/>
    <mergeCell ref="W10:Z10"/>
    <mergeCell ref="AA10:AD10"/>
    <mergeCell ref="AE10:AE11"/>
    <mergeCell ref="AF10:AF11"/>
    <mergeCell ref="AG10:AG11"/>
    <mergeCell ref="G9:G11"/>
    <mergeCell ref="H9:J10"/>
    <mergeCell ref="K9:M10"/>
    <mergeCell ref="N9:N11"/>
  </mergeCells>
  <pageMargins left="0.25" right="0.25" top="0.75" bottom="0.75" header="0.3" footer="0.3"/>
  <pageSetup paperSize="9"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EXTRUSION</vt:lpstr>
      <vt:lpstr>ACCESSORIES &amp; OTHER PARTS</vt:lpstr>
      <vt:lpstr>TO QUOTE EA (NAR PARTS)</vt:lpstr>
      <vt:lpstr>TO QUOTE EA</vt:lpstr>
      <vt:lpstr>SUMMARY</vt:lpstr>
      <vt:lpstr>SUMMARY WITHOUT CAGE</vt:lpstr>
      <vt:lpstr>SUMMARY WITH CAGE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ong</dc:creator>
  <cp:lastModifiedBy>Aeris ltishb</cp:lastModifiedBy>
  <cp:lastPrinted>2026-09-02T08:19:55Z</cp:lastPrinted>
  <dcterms:created xsi:type="dcterms:W3CDTF">2023-07-17T09:38:00Z</dcterms:created>
  <dcterms:modified xsi:type="dcterms:W3CDTF">2026-09-07T09:17:49Z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C1869F8048B9451DABFC48E7F9073A30_12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